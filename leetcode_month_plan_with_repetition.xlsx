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Загрузки\"/>
    </mc:Choice>
  </mc:AlternateContent>
  <xr:revisionPtr revIDLastSave="0" documentId="13_ncr:1_{961C5CF9-CC1D-487E-B19A-A612DA0FC6A0}" xr6:coauthVersionLast="47" xr6:coauthVersionMax="47" xr10:uidLastSave="{00000000-0000-0000-0000-000000000000}"/>
  <bookViews>
    <workbookView xWindow="-28920" yWindow="-90" windowWidth="29040" windowHeight="15720" activeTab="1" xr2:uid="{00000000-000D-0000-FFFF-FFFF00000000}"/>
  </bookViews>
  <sheets>
    <sheet name="Дашборд" sheetId="1" r:id="rId1"/>
    <sheet name="Месячный план" sheetId="2" r:id="rId2"/>
    <sheet name="Карта тем" sheetId="3" r:id="rId3"/>
    <sheet name="Банк задач" sheetId="4" r:id="rId4"/>
    <sheet name="Списки" sheetId="5" r:id="rId5"/>
    <sheet name="Источники" sheetId="6" r:id="rId6"/>
    <sheet name="Повторение" sheetId="7" r:id="rId7"/>
  </sheets>
  <calcPr calcId="191029"/>
</workbook>
</file>

<file path=xl/calcChain.xml><?xml version="1.0" encoding="utf-8"?>
<calcChain xmlns="http://schemas.openxmlformats.org/spreadsheetml/2006/main">
  <c r="F5" i="7" l="1"/>
  <c r="D5" i="7"/>
  <c r="B5" i="7"/>
  <c r="F4" i="7"/>
  <c r="F16" i="1"/>
  <c r="G16" i="1" s="1"/>
  <c r="E16" i="1"/>
  <c r="F15" i="1"/>
  <c r="G15" i="1" s="1"/>
  <c r="E15" i="1"/>
  <c r="F14" i="1"/>
  <c r="G14" i="1" s="1"/>
  <c r="E14" i="1"/>
  <c r="F13" i="1"/>
  <c r="G13" i="1" s="1"/>
  <c r="E13" i="1"/>
  <c r="F12" i="1"/>
  <c r="G12" i="1" s="1"/>
  <c r="E12" i="1"/>
  <c r="E9" i="1"/>
  <c r="E8" i="1"/>
  <c r="E7" i="1"/>
  <c r="E6" i="1"/>
  <c r="B6" i="1"/>
  <c r="B7" i="1" s="1"/>
  <c r="E5" i="1"/>
  <c r="B5" i="1"/>
  <c r="E4" i="1"/>
  <c r="B4" i="1"/>
  <c r="E3" i="1"/>
  <c r="B3" i="1"/>
</calcChain>
</file>

<file path=xl/sharedStrings.xml><?xml version="1.0" encoding="utf-8"?>
<sst xmlns="http://schemas.openxmlformats.org/spreadsheetml/2006/main" count="3962" uniqueCount="788">
  <si>
    <t>Месячный план LeetCode / собеседования</t>
  </si>
  <si>
    <t>Параметр</t>
  </si>
  <si>
    <t>Значение</t>
  </si>
  <si>
    <t>Статус</t>
  </si>
  <si>
    <t>Кол-во</t>
  </si>
  <si>
    <t>Неделя</t>
  </si>
  <si>
    <t>Всего задач в месячном плане</t>
  </si>
  <si>
    <t>Не начато</t>
  </si>
  <si>
    <t>Неделя 1</t>
  </si>
  <si>
    <t>Обязательных задач</t>
  </si>
  <si>
    <t>Пробую</t>
  </si>
  <si>
    <t>Неделя 2</t>
  </si>
  <si>
    <t>Задач “попробовать/доп/идея/контроль”</t>
  </si>
  <si>
    <t>Разобрал идею</t>
  </si>
  <si>
    <t>Неделя 3</t>
  </si>
  <si>
    <t>Решено сам / повторено</t>
  </si>
  <si>
    <t>Решил с подсказкой</t>
  </si>
  <si>
    <t>Неделя 4</t>
  </si>
  <si>
    <t>Процент закрытия</t>
  </si>
  <si>
    <t>Решил сам</t>
  </si>
  <si>
    <t>Неделя 5</t>
  </si>
  <si>
    <t>Повторил</t>
  </si>
  <si>
    <t>Отложить</t>
  </si>
  <si>
    <t>Как работать с планом</t>
  </si>
  <si>
    <t>Всего</t>
  </si>
  <si>
    <t>Решено</t>
  </si>
  <si>
    <t>%</t>
  </si>
  <si>
    <t>1. За день бери 2–3 задачи: обязательные важнее дополнительных.</t>
  </si>
  <si>
    <t>2. Medium-задачи со статусом “Только разобрать идею” не надо добивать любой ценой.</t>
  </si>
  <si>
    <t>3. Повторы важнее количества новых задач.</t>
  </si>
  <si>
    <t>4. Если не решил за лимит — смотри идею, закрывай и пиши сам.</t>
  </si>
  <si>
    <t>5. В “Заметки” фиксируй конкретную ошибку, а не просто “не понял”.</t>
  </si>
  <si>
    <t>Добавлен лист «Повторение»: отдельный график повторов по всем задачам месячного плана.</t>
  </si>
  <si>
    <t>День</t>
  </si>
  <si>
    <t>Дата</t>
  </si>
  <si>
    <t>№ LeetCode</t>
  </si>
  <si>
    <t>Задача</t>
  </si>
  <si>
    <t>Сложность</t>
  </si>
  <si>
    <t>Тема</t>
  </si>
  <si>
    <t>Паттерн</t>
  </si>
  <si>
    <t>Тип</t>
  </si>
  <si>
    <t>Цель</t>
  </si>
  <si>
    <t>Лимит попытки</t>
  </si>
  <si>
    <t>Повтор 1</t>
  </si>
  <si>
    <t>Повтор 2</t>
  </si>
  <si>
    <t>Заметки</t>
  </si>
  <si>
    <t>URL</t>
  </si>
  <si>
    <t>Источник/трек</t>
  </si>
  <si>
    <t>Two Sum</t>
  </si>
  <si>
    <t>Easy</t>
  </si>
  <si>
    <t>HashMap / Set</t>
  </si>
  <si>
    <t>HashMap complement</t>
  </si>
  <si>
    <t>Обязательная</t>
  </si>
  <si>
    <t>Понять dict: хранить уже просмотренные числа и индексы</t>
  </si>
  <si>
    <t>25 мин до подсказки</t>
  </si>
  <si>
    <t>https://leetcode.com/problems/two-sum/</t>
  </si>
  <si>
    <t>Твой недельный план</t>
  </si>
  <si>
    <t>Contains Duplicate</t>
  </si>
  <si>
    <t>HashSet</t>
  </si>
  <si>
    <t>Set membership</t>
  </si>
  <si>
    <t>Понять set: проверка наличия элемента / дубликата</t>
  </si>
  <si>
    <t>20 мин до подсказки</t>
  </si>
  <si>
    <t>https://leetcode.com/problems/contains-duplicate/</t>
  </si>
  <si>
    <t>Valid Anagram</t>
  </si>
  <si>
    <t>HashMap / Counter</t>
  </si>
  <si>
    <t>Frequency counting</t>
  </si>
  <si>
    <t>Научиться считать частоты символов</t>
  </si>
  <si>
    <t>https://leetcode.com/problems/valid-anagram/</t>
  </si>
  <si>
    <t>First Unique Character in a String</t>
  </si>
  <si>
    <t>Найти первый элемент с частотой 1</t>
  </si>
  <si>
    <t>https://leetcode.com/problems/first-unique-character-in-a-string/</t>
  </si>
  <si>
    <t>Ransom Note</t>
  </si>
  <si>
    <t>Frequency comparison</t>
  </si>
  <si>
    <t>Закрепить сравнение частот двух строк</t>
  </si>
  <si>
    <t>https://leetcode.com/problems/ransom-note/</t>
  </si>
  <si>
    <t>Group Anagrams</t>
  </si>
  <si>
    <t>Medium</t>
  </si>
  <si>
    <t>HashMap / Grouping</t>
  </si>
  <si>
    <t>Grouping by canonical key</t>
  </si>
  <si>
    <t>Попробовать</t>
  </si>
  <si>
    <t>Понять группировку через ключ словаря</t>
  </si>
  <si>
    <t>35 мин до подсказки</t>
  </si>
  <si>
    <t>https://leetcode.com/problems/group-anagrams/</t>
  </si>
  <si>
    <t>Move Zeroes</t>
  </si>
  <si>
    <t>Two Pointers: slow/fast</t>
  </si>
  <si>
    <t>Slow/fast pointer</t>
  </si>
  <si>
    <t>Освоить slow/fast pointer и запись “хороших” элементов</t>
  </si>
  <si>
    <t>второй раз решил сам по памяти</t>
  </si>
  <si>
    <t>https://leetcode.com/problems/move-zeroes/</t>
  </si>
  <si>
    <t>Remove Element</t>
  </si>
  <si>
    <t>Закрепить удаление элементов in-place</t>
  </si>
  <si>
    <t>https://leetcode.com/problems/remove-element/</t>
  </si>
  <si>
    <t>Valid Palindrome</t>
  </si>
  <si>
    <t>Two Pointers: left/right</t>
  </si>
  <si>
    <t>Left/right pointers</t>
  </si>
  <si>
    <t>Научиться двигать left/right и пропускать лишние символы</t>
  </si>
  <si>
    <t>30 мин до подсказки</t>
  </si>
  <si>
    <t>решил сам, но не за оптимальное время и память; затем разобрал оптимальнее</t>
  </si>
  <si>
    <t>https://leetcode.com/problems/valid-palindrome/</t>
  </si>
  <si>
    <t>Two Sum II - Input Array Is Sorted</t>
  </si>
  <si>
    <t>Понять движение указателей по отсортированному массиву</t>
  </si>
  <si>
    <t>https://leetcode.com/problems/two-sum-ii-input-array-is-sorted/</t>
  </si>
  <si>
    <t>Squares of a Sorted Array</t>
  </si>
  <si>
    <t>Дополнительно</t>
  </si>
  <si>
    <t>Закрепить выбор большего модуля с двух концов</t>
  </si>
  <si>
    <t>https://leetcode.com/problems/squares-of-a-sorted-array/</t>
  </si>
  <si>
    <t>Running Sum of 1d Array</t>
  </si>
  <si>
    <t>Prefix Sum</t>
  </si>
  <si>
    <t>Basic prefix sum</t>
  </si>
  <si>
    <t>Понять базовую префиксную сумму</t>
  </si>
  <si>
    <t>https://leetcode.com/problems/running-sum-of-1d-array/</t>
  </si>
  <si>
    <t>Range Sum Query - Immutable</t>
  </si>
  <si>
    <t>Prefix sum range query</t>
  </si>
  <si>
    <t>Понять сумму на отрезке через prefix[r+1]-prefix[l]</t>
  </si>
  <si>
    <t>забыл про +1 в указателе массива; повторить индексы</t>
  </si>
  <si>
    <t>https://leetcode.com/problems/range-sum-query-immutable/</t>
  </si>
  <si>
    <t>Subarray Sum Equals K</t>
  </si>
  <si>
    <t>Prefix Sum + HashMap</t>
  </si>
  <si>
    <t>Prefix sum + hashmap</t>
  </si>
  <si>
    <t>Только разобрать идею</t>
  </si>
  <si>
    <t>Увидеть связь prefix sum и dict частот префиксов</t>
  </si>
  <si>
    <t>https://leetcode.com/problems/subarray-sum-equals-k/</t>
  </si>
  <si>
    <t>Two Sum — повтор</t>
  </si>
  <si>
    <t>Повтор</t>
  </si>
  <si>
    <t>Решить заново без подсказки и без просмотра старого кода</t>
  </si>
  <si>
    <t>20 мин</t>
  </si>
  <si>
    <t>Повторение</t>
  </si>
  <si>
    <t>Valid Anagram — повтор</t>
  </si>
  <si>
    <t>Решить заново без подсказки</t>
  </si>
  <si>
    <t>Move Zeroes — повтор</t>
  </si>
  <si>
    <t>25 мин</t>
  </si>
  <si>
    <t>Valid Palindrome — повтор</t>
  </si>
  <si>
    <t>Valid Parentheses</t>
  </si>
  <si>
    <t>Stack</t>
  </si>
  <si>
    <t>Stack matching</t>
  </si>
  <si>
    <t>Скобки: научиться хранить незакрытые элементы</t>
  </si>
  <si>
    <t>https://leetcode.com/problems/valid-parentheses/</t>
  </si>
  <si>
    <t>Top Interview 150 / LC 75</t>
  </si>
  <si>
    <t>Min Stack</t>
  </si>
  <si>
    <t>Auxiliary stack</t>
  </si>
  <si>
    <t>Понять хранение минимума вместе со стеком</t>
  </si>
  <si>
    <t>https://leetcode.com/problems/min-stack/</t>
  </si>
  <si>
    <t>Top Interview 150</t>
  </si>
  <si>
    <t>Implement Queue using Stacks</t>
  </si>
  <si>
    <t>Stack / Queue</t>
  </si>
  <si>
    <t>Two stacks</t>
  </si>
  <si>
    <t>Понять инверсию порядка через два стека</t>
  </si>
  <si>
    <t>https://leetcode.com/problems/implement-queue-using-stacks/</t>
  </si>
  <si>
    <t>Common interview</t>
  </si>
  <si>
    <t>Evaluate Reverse Polish Notation</t>
  </si>
  <si>
    <t>Expression stack</t>
  </si>
  <si>
    <t>Научиться вычислять выражение через стек</t>
  </si>
  <si>
    <t>https://leetcode.com/problems/evaluate-reverse-polish-notation/</t>
  </si>
  <si>
    <t>Next Greater Element I</t>
  </si>
  <si>
    <t>Monotonic Stack</t>
  </si>
  <si>
    <t>Monotonic decreasing stack</t>
  </si>
  <si>
    <t>Первое знакомство с монотонным стеком</t>
  </si>
  <si>
    <t>https://leetcode.com/problems/next-greater-element-i/</t>
  </si>
  <si>
    <t>Daily Temperatures</t>
  </si>
  <si>
    <t>Закрепить монотонный стек на расстояниях до большего</t>
  </si>
  <si>
    <t>40 мин до подсказки</t>
  </si>
  <si>
    <t>https://leetcode.com/problems/daily-temperatures/</t>
  </si>
  <si>
    <t>LC 75</t>
  </si>
  <si>
    <t>Binary Search</t>
  </si>
  <si>
    <t>Classic binary search</t>
  </si>
  <si>
    <t>Довести до автоматизма left/right/mid</t>
  </si>
  <si>
    <t>https://leetcode.com/problems/binary-search/</t>
  </si>
  <si>
    <t>Search Insert Position</t>
  </si>
  <si>
    <t>Lower bound</t>
  </si>
  <si>
    <t>Понять позицию вставки и границы</t>
  </si>
  <si>
    <t>https://leetcode.com/problems/search-insert-position/</t>
  </si>
  <si>
    <t>Find First and Last Position of Element in Sorted Array</t>
  </si>
  <si>
    <t>Lower/upper bound</t>
  </si>
  <si>
    <t>Найти левую и правую границу через два бинарных поиска</t>
  </si>
  <si>
    <t>45 мин до подсказки</t>
  </si>
  <si>
    <t>https://leetcode.com/problems/find-first-and-last-position-of-element-in-sorted-array/</t>
  </si>
  <si>
    <t>First Bad Version</t>
  </si>
  <si>
    <t>Binary search by predicate</t>
  </si>
  <si>
    <t>Понять монотонное условие true/false</t>
  </si>
  <si>
    <t>https://leetcode.com/problems/first-bad-version/</t>
  </si>
  <si>
    <t>Find Minimum in Rotated Sorted Array</t>
  </si>
  <si>
    <t>Rotated array search</t>
  </si>
  <si>
    <t>Увидеть бинарный поиск не только по target</t>
  </si>
  <si>
    <t>https://leetcode.com/problems/find-minimum-in-rotated-sorted-array/</t>
  </si>
  <si>
    <t>Search in Rotated Sorted Array</t>
  </si>
  <si>
    <t>Понять, как определить отсортированную половину</t>
  </si>
  <si>
    <t>https://leetcode.com/problems/search-in-rotated-sorted-array/</t>
  </si>
  <si>
    <t>Reverse Linked List</t>
  </si>
  <si>
    <t>Linked List</t>
  </si>
  <si>
    <t>Pointer rewiring</t>
  </si>
  <si>
    <t>Научиться разворачивать связи prev/current/next</t>
  </si>
  <si>
    <t>https://leetcode.com/problems/reverse-linked-list/</t>
  </si>
  <si>
    <t>LC 75 / Top Interview 150</t>
  </si>
  <si>
    <t>Merge Two Sorted Lists</t>
  </si>
  <si>
    <t>Dummy node</t>
  </si>
  <si>
    <t>Понять dummy node и слияние двух списков</t>
  </si>
  <si>
    <t>https://leetcode.com/problems/merge-two-sorted-lists/</t>
  </si>
  <si>
    <t>Linked List Cycle</t>
  </si>
  <si>
    <t>Fast/slow pointers</t>
  </si>
  <si>
    <t>Понять цикл через черепаху и зайца</t>
  </si>
  <si>
    <t>https://leetcode.com/problems/linked-list-cycle/</t>
  </si>
  <si>
    <t>Middle of the Linked List</t>
  </si>
  <si>
    <t>Закрепить fast/slow на поиске середины</t>
  </si>
  <si>
    <t>https://leetcode.com/problems/middle-of-the-linked-list/</t>
  </si>
  <si>
    <t>Remove Nth Node From End of List</t>
  </si>
  <si>
    <t>Two pointers gap</t>
  </si>
  <si>
    <t>Научиться выдерживать расстояние n между указателями</t>
  </si>
  <si>
    <t>https://leetcode.com/problems/remove-nth-node-from-end-of-list/</t>
  </si>
  <si>
    <t>Palindrome Linked List</t>
  </si>
  <si>
    <t>Reverse second half</t>
  </si>
  <si>
    <t>Комбинация fast/slow + reverse</t>
  </si>
  <si>
    <t>https://leetcode.com/problems/palindrome-linked-list/</t>
  </si>
  <si>
    <t>Valid Parentheses — повтор</t>
  </si>
  <si>
    <t>Binary Search — повтор</t>
  </si>
  <si>
    <t>Reverse Linked List — повтор</t>
  </si>
  <si>
    <t>Maximum Depth of Binary Tree</t>
  </si>
  <si>
    <t>Tree DFS</t>
  </si>
  <si>
    <t>Recursive DFS</t>
  </si>
  <si>
    <t>Понять базовый DFS по дереву</t>
  </si>
  <si>
    <t>https://leetcode.com/problems/maximum-depth-of-binary-tree/</t>
  </si>
  <si>
    <t>Same Tree</t>
  </si>
  <si>
    <t>Recursive comparison</t>
  </si>
  <si>
    <t>Научиться сравнивать два дерева рекурсивно</t>
  </si>
  <si>
    <t>https://leetcode.com/problems/same-tree/</t>
  </si>
  <si>
    <t>Symmetric Tree</t>
  </si>
  <si>
    <t>Tree DFS / BFS</t>
  </si>
  <si>
    <t>Mirror recursion</t>
  </si>
  <si>
    <t>Понять сравнение зеркальных поддеревьев</t>
  </si>
  <si>
    <t>https://leetcode.com/problems/symmetric-tree/</t>
  </si>
  <si>
    <t>Invert Binary Tree</t>
  </si>
  <si>
    <t>Recursive swap</t>
  </si>
  <si>
    <t>Закрепить рекурсивный обход и обмен children</t>
  </si>
  <si>
    <t>https://leetcode.com/problems/invert-binary-tree/</t>
  </si>
  <si>
    <t>Path Sum</t>
  </si>
  <si>
    <t>Path recursion</t>
  </si>
  <si>
    <t>Понять передачу состояния по пути</t>
  </si>
  <si>
    <t>https://leetcode.com/problems/path-sum/</t>
  </si>
  <si>
    <t>Balanced Binary Tree</t>
  </si>
  <si>
    <t>Postorder DFS</t>
  </si>
  <si>
    <t>Понять возврат высоты и проверку баланса</t>
  </si>
  <si>
    <t>https://leetcode.com/problems/balanced-binary-tree/</t>
  </si>
  <si>
    <t>Validate Binary Search Tree</t>
  </si>
  <si>
    <t>BST</t>
  </si>
  <si>
    <t>Bounds recursion</t>
  </si>
  <si>
    <t>Понять ограничения min/max для BST</t>
  </si>
  <si>
    <t>https://leetcode.com/problems/validate-binary-search-tree/</t>
  </si>
  <si>
    <t>Lowest Common Ancestor of a BST</t>
  </si>
  <si>
    <t>BST direction</t>
  </si>
  <si>
    <t>Использовать свойства BST для поиска LCA</t>
  </si>
  <si>
    <t>https://leetcode.com/problems/lowest-common-ancestor-of-a-binary-search-tree/</t>
  </si>
  <si>
    <t>Kth Smallest Element in a BST</t>
  </si>
  <si>
    <t>Inorder traversal</t>
  </si>
  <si>
    <t>Понять inorder как отсортированный порядок</t>
  </si>
  <si>
    <t>https://leetcode.com/problems/kth-smallest-element-in-a-bst/</t>
  </si>
  <si>
    <t>Binary Tree Level Order Traversal</t>
  </si>
  <si>
    <t>Tree BFS</t>
  </si>
  <si>
    <t>Level-order BFS</t>
  </si>
  <si>
    <t>Научиться обходить дерево по уровням через очередь</t>
  </si>
  <si>
    <t>https://leetcode.com/problems/binary-tree-level-order-traversal/</t>
  </si>
  <si>
    <t>Binary Tree Right Side View</t>
  </si>
  <si>
    <t>Закрепить уровни и выбор последнего узла</t>
  </si>
  <si>
    <t>https://leetcode.com/problems/binary-tree-right-side-view/</t>
  </si>
  <si>
    <t>Average of Levels in Binary Tree</t>
  </si>
  <si>
    <t>Level aggregation</t>
  </si>
  <si>
    <t>Посчитать агрегаты по уровням</t>
  </si>
  <si>
    <t>https://leetcode.com/problems/average-of-levels-in-binary-tree/</t>
  </si>
  <si>
    <t>Merge Intervals</t>
  </si>
  <si>
    <t>Intervals / Sorting</t>
  </si>
  <si>
    <t>Sort + merge</t>
  </si>
  <si>
    <t>Освоить базовое слияние отрезков</t>
  </si>
  <si>
    <t>https://leetcode.com/problems/merge-intervals/</t>
  </si>
  <si>
    <t>Insert Interval</t>
  </si>
  <si>
    <t>Intervals</t>
  </si>
  <si>
    <t>Interval insertion</t>
  </si>
  <si>
    <t>Понять обработку до/пересечение/после</t>
  </si>
  <si>
    <t>https://leetcode.com/problems/insert-interval/</t>
  </si>
  <si>
    <t>Interval List Intersections</t>
  </si>
  <si>
    <t>Intervals / Two Pointers</t>
  </si>
  <si>
    <t>Two pointers on intervals</t>
  </si>
  <si>
    <t>Совместить интервалы и два указателя</t>
  </si>
  <si>
    <t>https://leetcode.com/problems/interval-list-intersections/</t>
  </si>
  <si>
    <t>Kth Largest Element in a Stream</t>
  </si>
  <si>
    <t>Heap</t>
  </si>
  <si>
    <t>Min-heap of size k</t>
  </si>
  <si>
    <t>Понять heap как поддержание top-k</t>
  </si>
  <si>
    <t>https://leetcode.com/problems/kth-largest-element-in-a-stream/</t>
  </si>
  <si>
    <t>Kth Largest Element in an Array</t>
  </si>
  <si>
    <t>Heap / Quickselect</t>
  </si>
  <si>
    <t>Heap or quickselect</t>
  </si>
  <si>
    <t>Решить через heap; quickselect можно разобрать позже</t>
  </si>
  <si>
    <t>https://leetcode.com/problems/kth-largest-element-in-an-array/</t>
  </si>
  <si>
    <t>Top K Frequent Elements</t>
  </si>
  <si>
    <t>Heap / HashMap</t>
  </si>
  <si>
    <t>Counter + heap/bucket</t>
  </si>
  <si>
    <t>Связать подсчёт частот и top-k</t>
  </si>
  <si>
    <t>https://leetcode.com/problems/top-k-frequent-elements/</t>
  </si>
  <si>
    <t>Maximum Depth — повтор</t>
  </si>
  <si>
    <t>Validate BST — повтор</t>
  </si>
  <si>
    <t>Решить/объяснить идею min/max</t>
  </si>
  <si>
    <t>30 мин</t>
  </si>
  <si>
    <t>Merge Intervals — повтор</t>
  </si>
  <si>
    <t>Kth Largest — разбор</t>
  </si>
  <si>
    <t>Сравнить heap O(n log k) и quickselect average O(n)</t>
  </si>
  <si>
    <t>Number of Islands</t>
  </si>
  <si>
    <t>Graph DFS/BFS</t>
  </si>
  <si>
    <t>Grid DFS/BFS</t>
  </si>
  <si>
    <t>Понять граф на матрице и visited</t>
  </si>
  <si>
    <t>https://leetcode.com/problems/number-of-islands/</t>
  </si>
  <si>
    <t>Flood Fill</t>
  </si>
  <si>
    <t>Закрепить обход соседей в матрице</t>
  </si>
  <si>
    <t>https://leetcode.com/problems/flood-fill/</t>
  </si>
  <si>
    <t>Max Area of Island</t>
  </si>
  <si>
    <t>Grid DFS area</t>
  </si>
  <si>
    <t>Считать размер компоненты</t>
  </si>
  <si>
    <t>https://leetcode.com/problems/max-area-of-island/</t>
  </si>
  <si>
    <t>Rotting Oranges</t>
  </si>
  <si>
    <t>Graph BFS</t>
  </si>
  <si>
    <t>Multi-source BFS</t>
  </si>
  <si>
    <t>Понять BFS от нескольких источников и уровни времени</t>
  </si>
  <si>
    <t>https://leetcode.com/problems/rotting-oranges/</t>
  </si>
  <si>
    <t>Course Schedule</t>
  </si>
  <si>
    <t>Graph / Topological Sort</t>
  </si>
  <si>
    <t>Cycle detection / Kahn</t>
  </si>
  <si>
    <t>Понять цикл в directed graph и topological sort</t>
  </si>
  <si>
    <t>50 мин до подсказки</t>
  </si>
  <si>
    <t>https://leetcode.com/problems/course-schedule/</t>
  </si>
  <si>
    <t>Top Interview 150 / Graph Theory</t>
  </si>
  <si>
    <t>Clone Graph</t>
  </si>
  <si>
    <t>Visited map</t>
  </si>
  <si>
    <t>Понять копирование графа через map old-&gt;new</t>
  </si>
  <si>
    <t>https://leetcode.com/problems/clone-graph/</t>
  </si>
  <si>
    <t>Number of Provinces</t>
  </si>
  <si>
    <t>Graph / Union Find</t>
  </si>
  <si>
    <t>Connected components</t>
  </si>
  <si>
    <t>Компоненты связности через DFS или DSU</t>
  </si>
  <si>
    <t>https://leetcode.com/problems/number-of-provinces/</t>
  </si>
  <si>
    <t>LC 75 / Graph Theory</t>
  </si>
  <si>
    <t>Find if Path Exists in Graph</t>
  </si>
  <si>
    <t>Reachability</t>
  </si>
  <si>
    <t>Проверить путь через BFS/DFS по списку смежности</t>
  </si>
  <si>
    <t>https://leetcode.com/problems/find-if-path-exists-in-graph/</t>
  </si>
  <si>
    <t>Redundant Connection</t>
  </si>
  <si>
    <t>Union Find</t>
  </si>
  <si>
    <t>DSU cycle detection</t>
  </si>
  <si>
    <t>Познакомиться с DSU для циклов в undirected graph</t>
  </si>
  <si>
    <t>https://leetcode.com/problems/redundant-connection/</t>
  </si>
  <si>
    <t>Permutations</t>
  </si>
  <si>
    <t>Backtracking</t>
  </si>
  <si>
    <t>Used flags recursion</t>
  </si>
  <si>
    <t>Понять перебор перестановок</t>
  </si>
  <si>
    <t>https://leetcode.com/problems/permutations/</t>
  </si>
  <si>
    <t>Subsets</t>
  </si>
  <si>
    <t>Include/exclude recursion</t>
  </si>
  <si>
    <t>Понять дерево решений include/exclude</t>
  </si>
  <si>
    <t>https://leetcode.com/problems/subsets/</t>
  </si>
  <si>
    <t>Combination Sum</t>
  </si>
  <si>
    <t>Choose/skip recursion</t>
  </si>
  <si>
    <t>Закрепить перебор комбинаций с повторением</t>
  </si>
  <si>
    <t>https://leetcode.com/problems/combination-sum/</t>
  </si>
  <si>
    <t>Letter Combinations of a Phone Number</t>
  </si>
  <si>
    <t>Cartesian product recursion</t>
  </si>
  <si>
    <t>Понять рекурсивную генерацию строк</t>
  </si>
  <si>
    <t>https://leetcode.com/problems/letter-combinations-of-a-phone-number/</t>
  </si>
  <si>
    <t>Generate Parentheses</t>
  </si>
  <si>
    <t>Constrained generation</t>
  </si>
  <si>
    <t>Учиться строить только валидные состояния</t>
  </si>
  <si>
    <t>https://leetcode.com/problems/generate-parentheses/</t>
  </si>
  <si>
    <t>Word Search</t>
  </si>
  <si>
    <t>Backtracking / Grid</t>
  </si>
  <si>
    <t>DFS with backtrack</t>
  </si>
  <si>
    <t>Комбинация grid DFS и backtracking</t>
  </si>
  <si>
    <t>55 мин до подсказки</t>
  </si>
  <si>
    <t>https://leetcode.com/problems/word-search/</t>
  </si>
  <si>
    <t>Climbing Stairs</t>
  </si>
  <si>
    <t>Dynamic Programming</t>
  </si>
  <si>
    <t>1D DP / Fibonacci</t>
  </si>
  <si>
    <t>Понять dp[i] как количество способов</t>
  </si>
  <si>
    <t>https://leetcode.com/problems/climbing-stairs/</t>
  </si>
  <si>
    <t>Min Cost Climbing Stairs</t>
  </si>
  <si>
    <t>1D DP</t>
  </si>
  <si>
    <t>Понять переходы dp[i] из предыдущих состояний</t>
  </si>
  <si>
    <t>https://leetcode.com/problems/min-cost-climbing-stairs/</t>
  </si>
  <si>
    <t>House Robber</t>
  </si>
  <si>
    <t>Take/skip DP</t>
  </si>
  <si>
    <t>Первый take/skip DP</t>
  </si>
  <si>
    <t>https://leetcode.com/problems/house-robber/</t>
  </si>
  <si>
    <t>Coin Change</t>
  </si>
  <si>
    <t>Unbounded knapsack DP</t>
  </si>
  <si>
    <t>Понять min-количество монет через dp</t>
  </si>
  <si>
    <t>https://leetcode.com/problems/coin-change/</t>
  </si>
  <si>
    <t>Longest Increasing Subsequence</t>
  </si>
  <si>
    <t>Dynamic Programming / Binary Search</t>
  </si>
  <si>
    <t>DP or patience sorting</t>
  </si>
  <si>
    <t>Сравнить DP O(n²) и оптимизацию O(n log n)</t>
  </si>
  <si>
    <t>https://leetcode.com/problems/longest-increasing-subsequence/</t>
  </si>
  <si>
    <t>Word Break</t>
  </si>
  <si>
    <t>DP over prefixes</t>
  </si>
  <si>
    <t>Понять DP по префиксам строки</t>
  </si>
  <si>
    <t>https://leetcode.com/problems/word-break/</t>
  </si>
  <si>
    <t>Best Time to Buy and Sell Stock</t>
  </si>
  <si>
    <t>Greedy / Array</t>
  </si>
  <si>
    <t>Track minimum</t>
  </si>
  <si>
    <t>Понять хранение лучшей цены до текущего дня</t>
  </si>
  <si>
    <t>https://leetcode.com/problems/best-time-to-buy-and-sell-stock/</t>
  </si>
  <si>
    <t>Jump Game</t>
  </si>
  <si>
    <t>Greedy</t>
  </si>
  <si>
    <t>Farthest reach</t>
  </si>
  <si>
    <t>Понять жадное поддержание максимальной достижимой позиции</t>
  </si>
  <si>
    <t>https://leetcode.com/problems/jump-game/</t>
  </si>
  <si>
    <t>Jump Game II</t>
  </si>
  <si>
    <t>Layered farthest reach</t>
  </si>
  <si>
    <t>Увидеть greedy как BFS по диапазонам</t>
  </si>
  <si>
    <t>https://leetcode.com/problems/jump-game-ii/</t>
  </si>
  <si>
    <t>Longest Substring Without Repeating Characters</t>
  </si>
  <si>
    <t>Sliding Window</t>
  </si>
  <si>
    <t>Window with set/map</t>
  </si>
  <si>
    <t>Контрольная</t>
  </si>
  <si>
    <t>Решить как смешанную задачу без подсказок 25–35 минут</t>
  </si>
  <si>
    <t>https://leetcode.com/problems/longest-substring-without-repeating-characters/</t>
  </si>
  <si>
    <t>Subarray Sum Equals K — контроль</t>
  </si>
  <si>
    <t>Проверить, закрепилась ли идея prefix_count</t>
  </si>
  <si>
    <t>Number of Islands — контроль</t>
  </si>
  <si>
    <t>Проверить умение писать grid DFS/BFS без готового шаблона</t>
  </si>
  <si>
    <t>Что должен уметь</t>
  </si>
  <si>
    <t>Минимум задач</t>
  </si>
  <si>
    <t>Контрольная точка</t>
  </si>
  <si>
    <t>Типичные ошибки</t>
  </si>
  <si>
    <t>Проверка наличия, complement, частоты, группировка</t>
  </si>
  <si>
    <t>8–12</t>
  </si>
  <si>
    <t>Two Sum, Group Anagrams, Subarray Sum Equals K</t>
  </si>
  <si>
    <t>добавлять до проверки; путать ключ/значение; сравнивать set вместо частот</t>
  </si>
  <si>
    <t>Two Pointers</t>
  </si>
  <si>
    <t>slow/fast, left/right, отсортированный массив, in-place</t>
  </si>
  <si>
    <t>8–10</t>
  </si>
  <si>
    <t>Move Zeroes, Two Sum II, 3Sum позже</t>
  </si>
  <si>
    <t>двигать не тот указатель; ломать инвариант slow</t>
  </si>
  <si>
    <t>сумма на отрезке, prefix[r+1]-prefix[l], prefix+hashmap</t>
  </si>
  <si>
    <t>5–7</t>
  </si>
  <si>
    <t>Range Sum Query, Subarray Sum Equals K</t>
  </si>
  <si>
    <t>ошибки +1; забыть prefix_count[0]=1</t>
  </si>
  <si>
    <t>динамическое окно, while для восстановления условия</t>
  </si>
  <si>
    <t>6–8</t>
  </si>
  <si>
    <t>Longest Substring, Find All Anagrams</t>
  </si>
  <si>
    <t>if вместо while; неправильно обновлять left</t>
  </si>
  <si>
    <t>скобки, RPN, монотонный стек</t>
  </si>
  <si>
    <t>Valid Parentheses, Daily Temperatures</t>
  </si>
  <si>
    <t>не проверять пустой стек; терять индекс</t>
  </si>
  <si>
    <t>классический поиск, lower_bound, поиск по ответу</t>
  </si>
  <si>
    <t>Search Insert, First/Last Position, Rotated Array</t>
  </si>
  <si>
    <t>left&lt;right vs left&lt;=right; не сдвигать mid</t>
  </si>
  <si>
    <t>dummy node, reverse, fast/slow, удаление с конца</t>
  </si>
  <si>
    <t>Reverse Linked List, Remove Nth</t>
  </si>
  <si>
    <t>потерять next; не обработать head</t>
  </si>
  <si>
    <t>Trees</t>
  </si>
  <si>
    <t>DFS/BFS, рекурсия, уровни, BST-инварианты</t>
  </si>
  <si>
    <t>10–14</t>
  </si>
  <si>
    <t>Validate BST, Level Order</t>
  </si>
  <si>
    <t>не определить базовый случай; проверять BST только с детьми</t>
  </si>
  <si>
    <t>sort + merge, insert, пересечения</t>
  </si>
  <si>
    <t>4–6</t>
  </si>
  <si>
    <t>не отсортировать; неправильно обновлять конец</t>
  </si>
  <si>
    <t>top-k, k largest, частоты</t>
  </si>
  <si>
    <t>Top K Frequent, Kth Largest</t>
  </si>
  <si>
    <t>использовать max/min heap неправильно; хранить больше k</t>
  </si>
  <si>
    <t>Graphs</t>
  </si>
  <si>
    <t>DFS/BFS, grid, visited, топосорт, компоненты</t>
  </si>
  <si>
    <t>Number of Islands, Course Schedule</t>
  </si>
  <si>
    <t>не ставить visited вовремя; путать directed/undirected</t>
  </si>
  <si>
    <t>перебор вариантов, откат состояния, ограничения</t>
  </si>
  <si>
    <t>Subsets, Permutations, Generate Parentheses</t>
  </si>
  <si>
    <t>не делать pop/откат; генерировать невалидные состояния</t>
  </si>
  <si>
    <t>состояние, переход, база, порядок вычисления</t>
  </si>
  <si>
    <t>House Robber, Coin Change, Word Break</t>
  </si>
  <si>
    <t>не сформулировать dp[i]; не задать базу</t>
  </si>
  <si>
    <t>локальный выбор с доказуемым инвариантом</t>
  </si>
  <si>
    <t>Jump Game, Best Time Stock</t>
  </si>
  <si>
    <t>делать greedy без инварианта</t>
  </si>
  <si>
    <t>DSU для компонент и циклов</t>
  </si>
  <si>
    <t>3–5</t>
  </si>
  <si>
    <t>Number of Provinces, Redundant Connection</t>
  </si>
  <si>
    <t>не сжимать пути; путать parent/rank</t>
  </si>
  <si>
    <t>Когда брать</t>
  </si>
  <si>
    <t>Зачем</t>
  </si>
  <si>
    <t>Arrays / String</t>
  </si>
  <si>
    <t>Longest Common Prefix</t>
  </si>
  <si>
    <t>После 1 недели</t>
  </si>
  <si>
    <t>простая строковая обработка</t>
  </si>
  <si>
    <t>https://leetcode.com/problems/longest-common-prefix/</t>
  </si>
  <si>
    <t>Rotate Array</t>
  </si>
  <si>
    <t>После two pointers</t>
  </si>
  <si>
    <t>in-place rotation / reverse</t>
  </si>
  <si>
    <t>https://leetcode.com/problems/rotate-array/</t>
  </si>
  <si>
    <t>Product of Array Except Self</t>
  </si>
  <si>
    <t>После prefix sum</t>
  </si>
  <si>
    <t>prefix/suffix products</t>
  </si>
  <si>
    <t>https://leetcode.com/problems/product-of-array-except-self/</t>
  </si>
  <si>
    <t>Game of Life</t>
  </si>
  <si>
    <t>После matrix basics</t>
  </si>
  <si>
    <t>in-place coding of states</t>
  </si>
  <si>
    <t>https://leetcode.com/problems/game-of-life/</t>
  </si>
  <si>
    <t>Longest Consecutive Sequence</t>
  </si>
  <si>
    <t>После set</t>
  </si>
  <si>
    <t>set + start of sequence</t>
  </si>
  <si>
    <t>https://leetcode.com/problems/longest-consecutive-sequence/</t>
  </si>
  <si>
    <t>Happy Number</t>
  </si>
  <si>
    <t>cycle detection with set</t>
  </si>
  <si>
    <t>https://leetcode.com/problems/happy-number/</t>
  </si>
  <si>
    <t>Isomorphic Strings</t>
  </si>
  <si>
    <t>После dict</t>
  </si>
  <si>
    <t>two-way mapping</t>
  </si>
  <si>
    <t>https://leetcode.com/problems/isomorphic-strings/</t>
  </si>
  <si>
    <t>Word Pattern</t>
  </si>
  <si>
    <t>bijection mapping</t>
  </si>
  <si>
    <t>https://leetcode.com/problems/word-pattern/</t>
  </si>
  <si>
    <t>Container With Most Water</t>
  </si>
  <si>
    <t>После left/right</t>
  </si>
  <si>
    <t>two pointers with greedy movement</t>
  </si>
  <si>
    <t>https://leetcode.com/problems/container-with-most-water/</t>
  </si>
  <si>
    <t>3Sum</t>
  </si>
  <si>
    <t>После sorting + two pointers</t>
  </si>
  <si>
    <t>sort + fix one + two pointers</t>
  </si>
  <si>
    <t>https://leetcode.com/problems/3sum/</t>
  </si>
  <si>
    <t>3Sum Closest</t>
  </si>
  <si>
    <t>После 3Sum</t>
  </si>
  <si>
    <t>two pointers + best answer</t>
  </si>
  <si>
    <t>https://leetcode.com/problems/3sum-closest/</t>
  </si>
  <si>
    <t>Trapping Rain Water</t>
  </si>
  <si>
    <t>Hard</t>
  </si>
  <si>
    <t>Позже</t>
  </si>
  <si>
    <t>two pointers / prefix max</t>
  </si>
  <si>
    <t>https://leetcode.com/problems/trapping-rain-water/</t>
  </si>
  <si>
    <t>Find All Anagrams in a String</t>
  </si>
  <si>
    <t>После frequency</t>
  </si>
  <si>
    <t>fixed-size sliding window</t>
  </si>
  <si>
    <t>https://leetcode.com/problems/find-all-anagrams-in-a-string/</t>
  </si>
  <si>
    <t>Permutation in String</t>
  </si>
  <si>
    <t>После 438</t>
  </si>
  <si>
    <t>fixed-size window + counts</t>
  </si>
  <si>
    <t>https://leetcode.com/problems/permutation-in-string/</t>
  </si>
  <si>
    <t>Longest Repeating Character Replacement</t>
  </si>
  <si>
    <t>После базового window</t>
  </si>
  <si>
    <t>window with max frequency</t>
  </si>
  <si>
    <t>https://leetcode.com/problems/longest-repeating-character-replacement/</t>
  </si>
  <si>
    <t>Minimum Window Substring</t>
  </si>
  <si>
    <t>min-window with counts</t>
  </si>
  <si>
    <t>https://leetcode.com/problems/minimum-window-substring/</t>
  </si>
  <si>
    <t>Search a 2D Matrix</t>
  </si>
  <si>
    <t>После classic bs</t>
  </si>
  <si>
    <t>binary search over virtual array</t>
  </si>
  <si>
    <t>https://leetcode.com/problems/search-a-2d-matrix/</t>
  </si>
  <si>
    <t>Find Peak Element</t>
  </si>
  <si>
    <t>После bs</t>
  </si>
  <si>
    <t>binary search by slope</t>
  </si>
  <si>
    <t>https://leetcode.com/problems/find-peak-element/</t>
  </si>
  <si>
    <t>Koko Eating Bananas</t>
  </si>
  <si>
    <t>После monotonic predicate</t>
  </si>
  <si>
    <t>binary search on answer</t>
  </si>
  <si>
    <t>https://leetcode.com/problems/koko-eating-bananas/</t>
  </si>
  <si>
    <t>Simplify Path</t>
  </si>
  <si>
    <t>После stack</t>
  </si>
  <si>
    <t>stack of path parts</t>
  </si>
  <si>
    <t>https://leetcode.com/problems/simplify-path/</t>
  </si>
  <si>
    <t>Decode String</t>
  </si>
  <si>
    <t>nested decoding stack</t>
  </si>
  <si>
    <t>https://leetcode.com/problems/decode-string/</t>
  </si>
  <si>
    <t>Car Fleet</t>
  </si>
  <si>
    <t>После monotonic</t>
  </si>
  <si>
    <t>sort + stack logic</t>
  </si>
  <si>
    <t>https://leetcode.com/problems/car-fleet/</t>
  </si>
  <si>
    <t>Largest Rectangle in Histogram</t>
  </si>
  <si>
    <t>monotonic stack classic</t>
  </si>
  <si>
    <t>https://leetcode.com/problems/largest-rectangle-in-histogram/</t>
  </si>
  <si>
    <t>Add Two Numbers</t>
  </si>
  <si>
    <t>После dummy node</t>
  </si>
  <si>
    <t>carry + linked list construction</t>
  </si>
  <si>
    <t>https://leetcode.com/problems/add-two-numbers/</t>
  </si>
  <si>
    <t>Reorder List</t>
  </si>
  <si>
    <t>После reverse</t>
  </si>
  <si>
    <t>middle + reverse + merge</t>
  </si>
  <si>
    <t>https://leetcode.com/problems/reorder-list/</t>
  </si>
  <si>
    <t>Intersection of Two Linked Lists</t>
  </si>
  <si>
    <t>После linked list basics</t>
  </si>
  <si>
    <t>two pointers switching heads</t>
  </si>
  <si>
    <t>https://leetcode.com/problems/intersection-of-two-linked-lists/</t>
  </si>
  <si>
    <t>Copy List with Random Pointer</t>
  </si>
  <si>
    <t>map old node -&gt; new node</t>
  </si>
  <si>
    <t>https://leetcode.com/problems/copy-list-with-random-pointer/</t>
  </si>
  <si>
    <t>Sort List</t>
  </si>
  <si>
    <t>merge sort linked list</t>
  </si>
  <si>
    <t>https://leetcode.com/problems/sort-list/</t>
  </si>
  <si>
    <t>Lowest Common Ancestor of a Binary Tree</t>
  </si>
  <si>
    <t>После tree DFS</t>
  </si>
  <si>
    <t>postorder DFS</t>
  </si>
  <si>
    <t>https://leetcode.com/problems/lowest-common-ancestor-of-a-binary-tree/</t>
  </si>
  <si>
    <t>Construct Binary Tree from Preorder and Inorder Traversal</t>
  </si>
  <si>
    <t>После DFS</t>
  </si>
  <si>
    <t>recursion + index map</t>
  </si>
  <si>
    <t>https://leetcode.com/problems/construct-binary-tree-from-preorder-and-inorder-traversal/</t>
  </si>
  <si>
    <t>Binary Tree Preorder Traversal</t>
  </si>
  <si>
    <t>iterative/recursive traversal</t>
  </si>
  <si>
    <t>https://leetcode.com/problems/binary-tree-preorder-traversal/</t>
  </si>
  <si>
    <t>Binary Tree Maximum Path Sum</t>
  </si>
  <si>
    <t>tree DP</t>
  </si>
  <si>
    <t>https://leetcode.com/problems/binary-tree-maximum-path-sum/</t>
  </si>
  <si>
    <t>Course Schedule II</t>
  </si>
  <si>
    <t>После Course Schedule</t>
  </si>
  <si>
    <t>topological sort output</t>
  </si>
  <si>
    <t>https://leetcode.com/problems/course-schedule-ii/</t>
  </si>
  <si>
    <t>Pacific Atlantic Water Flow</t>
  </si>
  <si>
    <t>После grid DFS</t>
  </si>
  <si>
    <t>reverse DFS from borders</t>
  </si>
  <si>
    <t>https://leetcode.com/problems/pacific-atlantic-water-flow/</t>
  </si>
  <si>
    <t>Network Delay Time</t>
  </si>
  <si>
    <t>После BFS/heap</t>
  </si>
  <si>
    <t>Dijkstra</t>
  </si>
  <si>
    <t>https://leetcode.com/problems/network-delay-time/</t>
  </si>
  <si>
    <t>Word Ladder</t>
  </si>
  <si>
    <t>BFS shortest path</t>
  </si>
  <si>
    <t>https://leetcode.com/problems/word-ladder/</t>
  </si>
  <si>
    <t>Accounts Merge</t>
  </si>
  <si>
    <t>После DSU</t>
  </si>
  <si>
    <t>DSU + grouping</t>
  </si>
  <si>
    <t>https://leetcode.com/problems/accounts-merge/</t>
  </si>
  <si>
    <t>Satisfiability of Equality Equations</t>
  </si>
  <si>
    <t>union equal, check not equal</t>
  </si>
  <si>
    <t>https://leetcode.com/problems/satisfiability-of-equality-equations/</t>
  </si>
  <si>
    <t>Subsets II</t>
  </si>
  <si>
    <t>После subsets</t>
  </si>
  <si>
    <t>skip duplicates</t>
  </si>
  <si>
    <t>https://leetcode.com/problems/subsets-ii/</t>
  </si>
  <si>
    <t>Combination Sum II</t>
  </si>
  <si>
    <t>После combination sum</t>
  </si>
  <si>
    <t>backtracking + duplicates</t>
  </si>
  <si>
    <t>https://leetcode.com/problems/combination-sum-ii/</t>
  </si>
  <si>
    <t>Palindrome Partitioning</t>
  </si>
  <si>
    <t>После string/backtracking</t>
  </si>
  <si>
    <t>partition recursion</t>
  </si>
  <si>
    <t>https://leetcode.com/problems/palindrome-partitioning/</t>
  </si>
  <si>
    <t>N-Queens</t>
  </si>
  <si>
    <t>constraints sets</t>
  </si>
  <si>
    <t>https://leetcode.com/problems/n-queens/</t>
  </si>
  <si>
    <t>DP</t>
  </si>
  <si>
    <t>Maximum Subarray</t>
  </si>
  <si>
    <t>После arrays</t>
  </si>
  <si>
    <t>Kadane / dp</t>
  </si>
  <si>
    <t>https://leetcode.com/problems/maximum-subarray/</t>
  </si>
  <si>
    <t>Maximum Product Subarray</t>
  </si>
  <si>
    <t>После Kadane</t>
  </si>
  <si>
    <t>track min/max</t>
  </si>
  <si>
    <t>https://leetcode.com/problems/maximum-product-subarray/</t>
  </si>
  <si>
    <t>Unique Paths</t>
  </si>
  <si>
    <t>После 1D DP</t>
  </si>
  <si>
    <t>grid DP</t>
  </si>
  <si>
    <t>https://leetcode.com/problems/unique-paths/</t>
  </si>
  <si>
    <t>Longest Common Subsequence</t>
  </si>
  <si>
    <t>После DP basics</t>
  </si>
  <si>
    <t>2D DP</t>
  </si>
  <si>
    <t>https://leetcode.com/problems/longest-common-subsequence/</t>
  </si>
  <si>
    <t>Edit Distance</t>
  </si>
  <si>
    <t>2D DP classic</t>
  </si>
  <si>
    <t>https://leetcode.com/problems/edit-distance/</t>
  </si>
  <si>
    <t>Partition Equal Subset Sum</t>
  </si>
  <si>
    <t>После coin change</t>
  </si>
  <si>
    <t>0/1 knapsack</t>
  </si>
  <si>
    <t>https://leetcode.com/problems/partition-equal-subset-sum/</t>
  </si>
  <si>
    <t>Target Sum</t>
  </si>
  <si>
    <t>После knapsack</t>
  </si>
  <si>
    <t>DP by sum</t>
  </si>
  <si>
    <t>https://leetcode.com/problems/target-sum/</t>
  </si>
  <si>
    <t>Partition Labels</t>
  </si>
  <si>
    <t>После greedy</t>
  </si>
  <si>
    <t>last occurrence intervals</t>
  </si>
  <si>
    <t>https://leetcode.com/problems/partition-labels/</t>
  </si>
  <si>
    <t>Non-overlapping Intervals</t>
  </si>
  <si>
    <t>После intervals</t>
  </si>
  <si>
    <t>sort by end</t>
  </si>
  <si>
    <t>https://leetcode.com/problems/non-overlapping-intervals/</t>
  </si>
  <si>
    <t>Minimum Number of Arrows to Burst Balloons</t>
  </si>
  <si>
    <t>greedy interval end</t>
  </si>
  <si>
    <t>https://leetcode.com/problems/minimum-number-of-arrows-to-burst-balloons/</t>
  </si>
  <si>
    <t>Gas Station</t>
  </si>
  <si>
    <t>reset start with deficit</t>
  </si>
  <si>
    <t>https://leetcode.com/problems/gas-station/</t>
  </si>
  <si>
    <t>K Closest Points to Origin</t>
  </si>
  <si>
    <t>После heap</t>
  </si>
  <si>
    <t>heap / quickselect</t>
  </si>
  <si>
    <t>https://leetcode.com/problems/k-closest-points-to-origin/</t>
  </si>
  <si>
    <t>Find Median from Data Stream</t>
  </si>
  <si>
    <t>two heaps</t>
  </si>
  <si>
    <t>https://leetcode.com/problems/find-median-from-data-stream/</t>
  </si>
  <si>
    <t>Task Scheduler</t>
  </si>
  <si>
    <t>После heap/greedy</t>
  </si>
  <si>
    <t>freq + greedy intervals</t>
  </si>
  <si>
    <t>https://leetcode.com/problems/task-scheduler/</t>
  </si>
  <si>
    <t>Trie</t>
  </si>
  <si>
    <t>Implement Trie (Prefix Tree)</t>
  </si>
  <si>
    <t>После dict/tree</t>
  </si>
  <si>
    <t>prefix tree</t>
  </si>
  <si>
    <t>https://leetcode.com/problems/implement-trie-prefix-tree/</t>
  </si>
  <si>
    <t>Design Add and Search Words Data Structure</t>
  </si>
  <si>
    <t>После trie</t>
  </si>
  <si>
    <t>trie + DFS wildcard</t>
  </si>
  <si>
    <t>https://leetcode.com/problems/design-add-and-search-words-data-structure/</t>
  </si>
  <si>
    <t>Word Search II</t>
  </si>
  <si>
    <t>trie + backtracking</t>
  </si>
  <si>
    <t>https://leetcode.com/problems/word-search-ii/</t>
  </si>
  <si>
    <t>Статусы</t>
  </si>
  <si>
    <t>Сложности</t>
  </si>
  <si>
    <t>Типы</t>
  </si>
  <si>
    <t>Темы</t>
  </si>
  <si>
    <t>Источник</t>
  </si>
  <si>
    <t>Как использовано</t>
  </si>
  <si>
    <t>LeetCode Top Interview 150</t>
  </si>
  <si>
    <t>https://leetcode.com/studyplan/top-interview-150/</t>
  </si>
  <si>
    <t>Основная ориентация на классические собеседовательные темы и задачи</t>
  </si>
  <si>
    <t>LeetCode 75</t>
  </si>
  <si>
    <t>https://leetcode.com/studyplan/leetcode-75/</t>
  </si>
  <si>
    <t>Короткий must-do список для 1–3 месяцев подготовки</t>
  </si>
  <si>
    <t>LeetCode Top 100 Liked</t>
  </si>
  <si>
    <t>https://leetcode.com/studyplan/top-100-liked/</t>
  </si>
  <si>
    <t>Дополнительный банк популярных задач</t>
  </si>
  <si>
    <t>LeetCode Graph Theory</t>
  </si>
  <si>
    <t>https://leetcode.com/studyplan/graph-theory/</t>
  </si>
  <si>
    <t>Графовые темы и задачи для расширения после базы</t>
  </si>
  <si>
    <t>Твой текущий недельный файл</t>
  </si>
  <si>
    <t>локальный файл leetcode_week_plan.xlsx</t>
  </si>
  <si>
    <t>Использован для сохранения статусов первой недели и расширения плана</t>
  </si>
  <si>
    <t>План повторения задач LeetCode на месяц</t>
  </si>
  <si>
    <t>Лист построен по spaced repetition: обязательные задачи повторяются чаще, задачи “разобрать идею” возвращаются как восстановление инварианта и попытка кода.</t>
  </si>
  <si>
    <t>Всего задач в плане</t>
  </si>
  <si>
    <t>Всего повторений</t>
  </si>
  <si>
    <t>Высокий приоритет</t>
  </si>
  <si>
    <t>Обязательные повторы</t>
  </si>
  <si>
    <t>Попробовать/разбор</t>
  </si>
  <si>
    <t>№</t>
  </si>
  <si>
    <t>День повтора</t>
  </si>
  <si>
    <t>Дата повтора</t>
  </si>
  <si>
    <t>Волна</t>
  </si>
  <si>
    <t>Исходный день</t>
  </si>
  <si>
    <t>№ LC</t>
  </si>
  <si>
    <t>Тип в плане</t>
  </si>
  <si>
    <t>Приоритет</t>
  </si>
  <si>
    <t>Режим повтора</t>
  </si>
  <si>
    <t>Что проверить</t>
  </si>
  <si>
    <t>Лимит</t>
  </si>
  <si>
    <t>Статус в плане</t>
  </si>
  <si>
    <t>Статус повтора</t>
  </si>
  <si>
    <t>Ошибка / заметка</t>
  </si>
  <si>
    <t>D+1</t>
  </si>
  <si>
    <t>Высокий</t>
  </si>
  <si>
    <t>Решить без подсказки</t>
  </si>
  <si>
    <t>Восстановить структуру dict/set/Counter и объяснить, что хранится в ключах/значениях</t>
  </si>
  <si>
    <t>15–25 мин</t>
  </si>
  <si>
    <t>Восстановить паттерн, сложность и крайние случаи</t>
  </si>
  <si>
    <t>D+3</t>
  </si>
  <si>
    <t>Решить без подсказки, затем сверить сложность</t>
  </si>
  <si>
    <t>20–30 мин</t>
  </si>
  <si>
    <t>Проговорить движение указателей и почему часть вариантов можно отбросить</t>
  </si>
  <si>
    <t>D+2</t>
  </si>
  <si>
    <t>Средний</t>
  </si>
  <si>
    <t>Попробовать заново без подсказки</t>
  </si>
  <si>
    <t>25–35 мин</t>
  </si>
  <si>
    <t>Не ошибиться в индексах prefix[r+1]-prefix[l] / prefix_count</t>
  </si>
  <si>
    <t>D+7</t>
  </si>
  <si>
    <t>Решить с нуля, не смотреть старый код</t>
  </si>
  <si>
    <t>20–35 мин</t>
  </si>
  <si>
    <t>Понять, что лежит в стеке после каждого шага</t>
  </si>
  <si>
    <t>Восстановить идею и ключевой инвариант</t>
  </si>
  <si>
    <t>Решить или хотя бы восстановить идею</t>
  </si>
  <si>
    <t>30–40 мин</t>
  </si>
  <si>
    <t>Чётко держать границы left/right и условие цикла</t>
  </si>
  <si>
    <t>Низкий</t>
  </si>
  <si>
    <t>Вернуться, если базовая тема уже уверенная</t>
  </si>
  <si>
    <t>Не потерять ссылки: сохранить next до изменения current.next</t>
  </si>
  <si>
    <t>Сформулировать базовый случай рекурсии и значение, которое возвращает dfs</t>
  </si>
  <si>
    <t>D+10</t>
  </si>
  <si>
    <t>Попробовать написать код после разбора</t>
  </si>
  <si>
    <t>30–45 мин</t>
  </si>
  <si>
    <t>Понять сортировку интервалов и условие пересечения</t>
  </si>
  <si>
    <t>Понять, что хранится в heap и почему размер heap ограничен</t>
  </si>
  <si>
    <t>Объяснить visited, соседей и отличие DFS/BFS</t>
  </si>
  <si>
    <t>Kth Largest</t>
  </si>
  <si>
    <t>Проговорить выбор → рекурсия → откат</t>
  </si>
  <si>
    <t>Сформулировать состояние dp и переход</t>
  </si>
  <si>
    <t>Объяснить локальный выбор и почему он не ломает оптимальность</t>
  </si>
  <si>
    <t>Контрольное повторение без подсказок</t>
  </si>
  <si>
    <t>Удержать инвариант окна и понять, когда двигать left</t>
  </si>
  <si>
    <t>Правило: если задача на повторе не решилась за лимит, не списывай её как провал. Запиши конкретную причину в колонку “Ошибка / заметка” и перенеси в следующий повтор.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</si>
</sst>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1" x14ac:knownFonts="1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name val="Carlito"/>
    </font>
    <font>
      <b/>
      <sz val="14"/>
      <color rgb="FFFFFFFF"/>
      <name val="Carlito"/>
    </font>
    <font>
      <sz val="11"/>
      <color rgb="FF1E3A8A"/>
      <name val="Carlito"/>
    </font>
    <font>
      <b/>
      <sz val="11"/>
      <name val="Carlito"/>
    </font>
    <font>
      <b/>
      <sz val="11"/>
      <color rgb="FF1D4ED8"/>
      <name val="Carlito"/>
    </font>
    <font>
      <i/>
      <sz val="11"/>
      <color rgb="FF334155"/>
      <name val="Carlito"/>
    </font>
    <font>
      <sz val="11"/>
      <name val="Carlito"/>
    </font>
    <font>
      <u/>
      <sz val="11"/>
      <color theme="1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9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0" fontId="3" fillId="0" borderId="0" xfId="1" applyFont="1" applyAlignment="1">
      <alignment wrapText="1"/>
    </xf>
    <xf numFmtId="9" fontId="0" fillId="0" borderId="0" xfId="1" applyNumberFormat="1" applyFont="1"/>
    <xf numFmtId="0" fontId="6" fillId="6" borderId="1" xfId="1" applyFont="1" applyFill="1" applyBorder="1" applyAlignment="1">
      <alignment vertical="center"/>
    </xf>
    <xf numFmtId="0" fontId="6" fillId="6" borderId="4" xfId="1" applyFont="1" applyFill="1" applyBorder="1" applyAlignment="1">
      <alignment vertical="center"/>
    </xf>
    <xf numFmtId="0" fontId="6" fillId="6" borderId="2" xfId="1" applyFont="1" applyFill="1" applyBorder="1" applyAlignment="1">
      <alignment vertical="center"/>
    </xf>
    <xf numFmtId="0" fontId="6" fillId="6" borderId="5" xfId="1" applyFont="1" applyFill="1" applyBorder="1" applyAlignment="1">
      <alignment vertical="center"/>
    </xf>
    <xf numFmtId="0" fontId="7" fillId="6" borderId="2" xfId="1" applyFont="1" applyFill="1" applyBorder="1" applyAlignment="1">
      <alignment vertical="center"/>
    </xf>
    <xf numFmtId="0" fontId="7" fillId="6" borderId="5" xfId="1" applyFont="1" applyFill="1" applyBorder="1" applyAlignment="1">
      <alignment vertical="center"/>
    </xf>
    <xf numFmtId="0" fontId="7" fillId="6" borderId="3" xfId="1" applyFont="1" applyFill="1" applyBorder="1" applyAlignment="1">
      <alignment vertical="center"/>
    </xf>
    <xf numFmtId="0" fontId="7" fillId="6" borderId="6" xfId="1" applyFont="1" applyFill="1" applyBorder="1" applyAlignment="1">
      <alignment vertical="center"/>
    </xf>
    <xf numFmtId="0" fontId="1" fillId="7" borderId="0" xfId="1" applyFont="1" applyFill="1" applyAlignment="1">
      <alignment horizontal="center" vertical="center" wrapText="1"/>
    </xf>
    <xf numFmtId="0" fontId="0" fillId="0" borderId="8" xfId="1" applyFont="1" applyBorder="1" applyAlignment="1">
      <alignment vertical="top" wrapText="1"/>
    </xf>
    <xf numFmtId="0" fontId="0" fillId="0" borderId="9" xfId="1" applyFont="1" applyBorder="1" applyAlignment="1">
      <alignment vertical="top" wrapText="1"/>
    </xf>
    <xf numFmtId="0" fontId="0" fillId="0" borderId="11" xfId="1" applyFont="1" applyBorder="1" applyAlignment="1">
      <alignment vertical="top" wrapText="1"/>
    </xf>
    <xf numFmtId="0" fontId="0" fillId="0" borderId="12" xfId="1" applyFont="1" applyBorder="1" applyAlignment="1">
      <alignment vertical="top" wrapText="1"/>
    </xf>
    <xf numFmtId="0" fontId="0" fillId="0" borderId="14" xfId="1" applyFont="1" applyBorder="1" applyAlignment="1">
      <alignment vertical="top" wrapText="1"/>
    </xf>
    <xf numFmtId="0" fontId="0" fillId="0" borderId="15" xfId="1" applyFont="1" applyBorder="1" applyAlignment="1">
      <alignment vertical="top" wrapText="1"/>
    </xf>
    <xf numFmtId="1" fontId="0" fillId="0" borderId="7" xfId="1" applyNumberFormat="1" applyFont="1" applyBorder="1" applyAlignment="1">
      <alignment horizontal="center" vertical="top" wrapText="1"/>
    </xf>
    <xf numFmtId="1" fontId="0" fillId="0" borderId="8" xfId="1" applyNumberFormat="1" applyFont="1" applyBorder="1" applyAlignment="1">
      <alignment horizontal="center" vertical="top" wrapText="1"/>
    </xf>
    <xf numFmtId="164" fontId="0" fillId="0" borderId="8" xfId="1" applyNumberFormat="1" applyFont="1" applyBorder="1" applyAlignment="1">
      <alignment horizontal="center" vertical="top" wrapText="1"/>
    </xf>
    <xf numFmtId="0" fontId="0" fillId="0" borderId="8" xfId="1" applyFont="1" applyBorder="1" applyAlignment="1">
      <alignment horizontal="center" vertical="top" wrapText="1"/>
    </xf>
    <xf numFmtId="1" fontId="0" fillId="0" borderId="10" xfId="1" applyNumberFormat="1" applyFont="1" applyBorder="1" applyAlignment="1">
      <alignment horizontal="center" vertical="top" wrapText="1"/>
    </xf>
    <xf numFmtId="1" fontId="0" fillId="0" borderId="11" xfId="1" applyNumberFormat="1" applyFont="1" applyBorder="1" applyAlignment="1">
      <alignment horizontal="center" vertical="top" wrapText="1"/>
    </xf>
    <xf numFmtId="164" fontId="0" fillId="0" borderId="11" xfId="1" applyNumberFormat="1" applyFont="1" applyBorder="1" applyAlignment="1">
      <alignment horizontal="center" vertical="top" wrapText="1"/>
    </xf>
    <xf numFmtId="0" fontId="0" fillId="0" borderId="11" xfId="1" applyFont="1" applyBorder="1" applyAlignment="1">
      <alignment horizontal="center" vertical="top" wrapText="1"/>
    </xf>
    <xf numFmtId="1" fontId="0" fillId="0" borderId="13" xfId="1" applyNumberFormat="1" applyFont="1" applyBorder="1" applyAlignment="1">
      <alignment horizontal="center" vertical="top" wrapText="1"/>
    </xf>
    <xf numFmtId="1" fontId="0" fillId="0" borderId="14" xfId="1" applyNumberFormat="1" applyFont="1" applyBorder="1" applyAlignment="1">
      <alignment horizontal="center" vertical="top" wrapText="1"/>
    </xf>
    <xf numFmtId="164" fontId="0" fillId="0" borderId="14" xfId="1" applyNumberFormat="1" applyFont="1" applyBorder="1" applyAlignment="1">
      <alignment horizontal="center" vertical="top" wrapText="1"/>
    </xf>
    <xf numFmtId="0" fontId="0" fillId="0" borderId="14" xfId="1" applyFont="1" applyBorder="1" applyAlignment="1">
      <alignment horizontal="center" vertical="top" wrapText="1"/>
    </xf>
    <xf numFmtId="0" fontId="2" fillId="3" borderId="0" xfId="1" applyFont="1" applyFill="1" applyAlignment="1">
      <alignment horizontal="center" vertical="center"/>
    </xf>
    <xf numFmtId="0" fontId="0" fillId="0" borderId="0" xfId="0"/>
    <xf numFmtId="0" fontId="7" fillId="9" borderId="0" xfId="1" applyFont="1" applyFill="1" applyAlignment="1">
      <alignment vertical="center" wrapText="1"/>
    </xf>
    <xf numFmtId="0" fontId="4" fillId="4" borderId="0" xfId="1" applyFont="1" applyFill="1" applyAlignment="1">
      <alignment horizontal="center" vertical="center"/>
    </xf>
    <xf numFmtId="0" fontId="5" fillId="5" borderId="0" xfId="1" applyFont="1" applyFill="1" applyAlignment="1">
      <alignment vertical="center" wrapText="1"/>
    </xf>
    <xf numFmtId="0" fontId="8" fillId="8" borderId="0" xfId="1" applyFont="1" applyFill="1" applyAlignment="1">
      <alignment vertical="center" wrapText="1"/>
    </xf>
    <xf numFmtId="0" fontId="10" fillId="0" borderId="0" xfId="2" applyAlignment="1">
      <alignment wrapText="1"/>
    </xf>
  </cellXfs>
  <cellStyles count="3">
    <cellStyle name="Normal" xfId="1" xr:uid="{00000000-0005-0000-0000-000000000000}"/>
    <cellStyle name="Гиперссылка" xfId="2" builtinId="8"/>
    <cellStyle name="Обычный" xfId="0" builtinId="0"/>
  </cellStyles>
  <dxfs count="9">
    <dxf>
      <font>
        <b/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color rgb="FF065F46"/>
      </font>
      <fill>
        <patternFill patternType="solid">
          <bgColor rgb="FFECFDF5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>
          <bgColor rgb="FFFECACA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PlanTable" displayName="MonthPlanTable" ref="A1:Q89">
  <tableColumns count="17">
    <tableColumn id="1" xr3:uid="{00000000-0010-0000-0000-000001000000}" name="День"/>
    <tableColumn id="2" xr3:uid="{00000000-0010-0000-0000-000002000000}" name="Дата"/>
    <tableColumn id="3" xr3:uid="{00000000-0010-0000-0000-000003000000}" name="Неделя"/>
    <tableColumn id="4" xr3:uid="{00000000-0010-0000-0000-000004000000}" name="№ LeetCode"/>
    <tableColumn id="5" xr3:uid="{00000000-0010-0000-0000-000005000000}" name="Задача"/>
    <tableColumn id="6" xr3:uid="{00000000-0010-0000-0000-000006000000}" name="Сложность"/>
    <tableColumn id="7" xr3:uid="{00000000-0010-0000-0000-000007000000}" name="Тема"/>
    <tableColumn id="8" xr3:uid="{00000000-0010-0000-0000-000008000000}" name="Паттерн"/>
    <tableColumn id="9" xr3:uid="{00000000-0010-0000-0000-000009000000}" name="Тип"/>
    <tableColumn id="10" xr3:uid="{00000000-0010-0000-0000-00000A000000}" name="Цель"/>
    <tableColumn id="11" xr3:uid="{00000000-0010-0000-0000-00000B000000}" name="Лимит попытки"/>
    <tableColumn id="12" xr3:uid="{00000000-0010-0000-0000-00000C000000}" name="Статус"/>
    <tableColumn id="13" xr3:uid="{00000000-0010-0000-0000-00000D000000}" name="Повтор 1"/>
    <tableColumn id="14" xr3:uid="{00000000-0010-0000-0000-00000E000000}" name="Повтор 2"/>
    <tableColumn id="15" xr3:uid="{00000000-0010-0000-0000-00000F000000}" name="Заметки"/>
    <tableColumn id="16" xr3:uid="{00000000-0010-0000-0000-000010000000}" name="URL"/>
    <tableColumn id="17" xr3:uid="{00000000-0010-0000-0000-000011000000}" name="Источник/тре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overageTable" displayName="CoverageTable" ref="A1:E16">
  <tableColumns count="5">
    <tableColumn id="1" xr3:uid="{00000000-0010-0000-0100-000001000000}" name="Тема"/>
    <tableColumn id="2" xr3:uid="{00000000-0010-0000-0100-000002000000}" name="Что должен уметь"/>
    <tableColumn id="3" xr3:uid="{00000000-0010-0000-0100-000003000000}" name="Минимум задач"/>
    <tableColumn id="4" xr3:uid="{00000000-0010-0000-0100-000004000000}" name="Контрольная точка"/>
    <tableColumn id="5" xr3:uid="{00000000-0010-0000-0100-000005000000}" name="Типичные ошибк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ExtraTasksTable" displayName="ExtraTasksTable" ref="A1:G60">
  <tableColumns count="7">
    <tableColumn id="1" xr3:uid="{00000000-0010-0000-0200-000001000000}" name="Тема"/>
    <tableColumn id="2" xr3:uid="{00000000-0010-0000-0200-000002000000}" name="№ LeetCode"/>
    <tableColumn id="3" xr3:uid="{00000000-0010-0000-0200-000003000000}" name="Задача"/>
    <tableColumn id="4" xr3:uid="{00000000-0010-0000-0200-000004000000}" name="Сложность"/>
    <tableColumn id="5" xr3:uid="{00000000-0010-0000-0200-000005000000}" name="Когда брать"/>
    <tableColumn id="6" xr3:uid="{00000000-0010-0000-0200-000006000000}" name="Зачем"/>
    <tableColumn id="7" xr3:uid="{00000000-0010-0000-0200-000007000000}" name="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ListsTable" displayName="ListsTable" ref="A1:D36">
  <tableColumns count="4">
    <tableColumn id="1" xr3:uid="{00000000-0010-0000-0300-000001000000}" name="Статусы"/>
    <tableColumn id="2" xr3:uid="{00000000-0010-0000-0300-000002000000}" name="Сложности"/>
    <tableColumn id="3" xr3:uid="{00000000-0010-0000-0300-000003000000}" name="Типы"/>
    <tableColumn id="4" xr3:uid="{00000000-0010-0000-0300-000004000000}" name="Тем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petitionTable" displayName="RepetitionTable" ref="A7:S191">
  <tableColumns count="19">
    <tableColumn id="1" xr3:uid="{00000000-0010-0000-0400-000001000000}" name="№"/>
    <tableColumn id="2" xr3:uid="{00000000-0010-0000-0400-000002000000}" name="День повтора"/>
    <tableColumn id="3" xr3:uid="{00000000-0010-0000-0400-000003000000}" name="Дата повтора"/>
    <tableColumn id="4" xr3:uid="{00000000-0010-0000-0400-000004000000}" name="Волна"/>
    <tableColumn id="5" xr3:uid="{00000000-0010-0000-0400-000005000000}" name="Исходный день"/>
    <tableColumn id="6" xr3:uid="{00000000-0010-0000-0400-000006000000}" name="№ LC"/>
    <tableColumn id="7" xr3:uid="{00000000-0010-0000-0400-000007000000}" name="Задача"/>
    <tableColumn id="8" xr3:uid="{00000000-0010-0000-0400-000008000000}" name="Сложность"/>
    <tableColumn id="9" xr3:uid="{00000000-0010-0000-0400-000009000000}" name="Тема"/>
    <tableColumn id="10" xr3:uid="{00000000-0010-0000-0400-00000A000000}" name="Паттерн"/>
    <tableColumn id="11" xr3:uid="{00000000-0010-0000-0400-00000B000000}" name="Тип в плане"/>
    <tableColumn id="12" xr3:uid="{00000000-0010-0000-0400-00000C000000}" name="Приоритет"/>
    <tableColumn id="13" xr3:uid="{00000000-0010-0000-0400-00000D000000}" name="Режим повтора"/>
    <tableColumn id="14" xr3:uid="{00000000-0010-0000-0400-00000E000000}" name="Что проверить"/>
    <tableColumn id="15" xr3:uid="{00000000-0010-0000-0400-00000F000000}" name="Лимит"/>
    <tableColumn id="16" xr3:uid="{00000000-0010-0000-0400-000010000000}" name="Статус в плане"/>
    <tableColumn id="17" xr3:uid="{00000000-0010-0000-0400-000011000000}" name="Статус повтора"/>
    <tableColumn id="18" xr3:uid="{00000000-0010-0000-0400-000012000000}" name="Ошибка / заметка"/>
    <tableColumn id="19" xr3:uid="{00000000-0010-0000-0400-000013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leetcode.com/problems/subarray-sum-equals-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/>
  </sheetViews>
  <sheetFormatPr defaultRowHeight="15" x14ac:dyDescent="0.25"/>
  <cols>
    <col min="1" max="1" width="58" customWidth="1"/>
    <col min="2" max="2" width="16" customWidth="1"/>
    <col min="4" max="4" width="20" customWidth="1"/>
    <col min="5" max="7" width="14" customWidth="1"/>
  </cols>
  <sheetData>
    <row r="1" spans="1:7" ht="21" x14ac:dyDescent="0.25">
      <c r="A1" s="33" t="s">
        <v>0</v>
      </c>
      <c r="B1" s="34"/>
      <c r="C1" s="34"/>
      <c r="D1" s="34"/>
      <c r="E1" s="34"/>
      <c r="F1" s="34"/>
      <c r="G1" s="34"/>
    </row>
    <row r="2" spans="1:7" x14ac:dyDescent="0.25">
      <c r="A2" s="1" t="s">
        <v>1</v>
      </c>
      <c r="B2" s="1" t="s">
        <v>2</v>
      </c>
      <c r="D2" s="1" t="s">
        <v>3</v>
      </c>
      <c r="E2" s="1" t="s">
        <v>4</v>
      </c>
      <c r="G2" t="s">
        <v>5</v>
      </c>
    </row>
    <row r="3" spans="1:7" x14ac:dyDescent="0.25">
      <c r="A3" t="s">
        <v>6</v>
      </c>
      <c r="B3">
        <f>COUNTA('Месячный план'!$E$2:$E$89)</f>
        <v>88</v>
      </c>
      <c r="D3" t="s">
        <v>7</v>
      </c>
      <c r="E3">
        <f>COUNTIF('Месячный план'!$L$2:$L$89,D3)</f>
        <v>73</v>
      </c>
      <c r="G3" t="s">
        <v>8</v>
      </c>
    </row>
    <row r="4" spans="1:7" x14ac:dyDescent="0.25">
      <c r="A4" t="s">
        <v>9</v>
      </c>
      <c r="B4">
        <f>COUNTIF('Месячный план'!$I$2:$I$89,"Обязательная")</f>
        <v>41</v>
      </c>
      <c r="D4" t="s">
        <v>10</v>
      </c>
      <c r="E4">
        <f>COUNTIF('Месячный план'!$L$2:$L$89,D4)</f>
        <v>0</v>
      </c>
      <c r="G4" t="s">
        <v>11</v>
      </c>
    </row>
    <row r="5" spans="1:7" x14ac:dyDescent="0.25">
      <c r="A5" t="s">
        <v>12</v>
      </c>
      <c r="B5">
        <f>COUNTIF('Месячный план'!$I$2:$I$89,"Попробовать")+COUNTIF('Месячный план'!$I$2:$I$89,"Дополнительно")+COUNTIF('Месячный план'!$I$2:$I$89,"Только разобрать идею")+COUNTIF('Месячный план'!$I$2:$I$89,"Контрольная")</f>
        <v>37</v>
      </c>
      <c r="D5" t="s">
        <v>13</v>
      </c>
      <c r="E5">
        <f>COUNTIF('Месячный план'!$L$2:$L$89,D5)</f>
        <v>0</v>
      </c>
      <c r="G5" t="s">
        <v>14</v>
      </c>
    </row>
    <row r="6" spans="1:7" x14ac:dyDescent="0.25">
      <c r="A6" t="s">
        <v>15</v>
      </c>
      <c r="B6">
        <f>COUNTIF('Месячный план'!$L$2:$L$89,"Решил сам")+COUNTIF('Месячный план'!$L$2:$L$89,"Повторил")</f>
        <v>10</v>
      </c>
      <c r="D6" t="s">
        <v>16</v>
      </c>
      <c r="E6">
        <f>COUNTIF('Месячный план'!$L$2:$L$89,D6)</f>
        <v>4</v>
      </c>
      <c r="G6" t="s">
        <v>17</v>
      </c>
    </row>
    <row r="7" spans="1:7" x14ac:dyDescent="0.25">
      <c r="A7" t="s">
        <v>18</v>
      </c>
      <c r="B7" s="5">
        <f>IFERROR(B6/B3,0)</f>
        <v>0.11363636363636363</v>
      </c>
      <c r="D7" t="s">
        <v>19</v>
      </c>
      <c r="E7">
        <f>COUNTIF('Месячный план'!$L$2:$L$89,D7)</f>
        <v>9</v>
      </c>
      <c r="G7" t="s">
        <v>20</v>
      </c>
    </row>
    <row r="8" spans="1:7" x14ac:dyDescent="0.25">
      <c r="D8" t="s">
        <v>21</v>
      </c>
      <c r="E8">
        <f>COUNTIF('Месячный план'!$L$2:$L$89,D8)</f>
        <v>1</v>
      </c>
    </row>
    <row r="9" spans="1:7" x14ac:dyDescent="0.25">
      <c r="D9" t="s">
        <v>22</v>
      </c>
      <c r="E9">
        <f>COUNTIF('Месячный план'!$L$2:$L$89,D9)</f>
        <v>1</v>
      </c>
    </row>
    <row r="11" spans="1:7" x14ac:dyDescent="0.25">
      <c r="A11" s="4" t="s">
        <v>23</v>
      </c>
      <c r="D11" s="1" t="s">
        <v>5</v>
      </c>
      <c r="E11" s="1" t="s">
        <v>24</v>
      </c>
      <c r="F11" s="1" t="s">
        <v>25</v>
      </c>
      <c r="G11" s="1" t="s">
        <v>26</v>
      </c>
    </row>
    <row r="12" spans="1:7" ht="30" x14ac:dyDescent="0.25">
      <c r="A12" s="4" t="s">
        <v>27</v>
      </c>
      <c r="D12" t="s">
        <v>8</v>
      </c>
      <c r="E12">
        <f>COUNTIF('Месячный план'!$C$2:$C$89,D12)</f>
        <v>18</v>
      </c>
      <c r="F12">
        <f>COUNTIFS('Месячный план'!$C$2:$C$89,D12,'Месячный план'!$L$2:$L$89,"Решил сам")+COUNTIFS('Месячный план'!$C$2:$C$89,D12,'Месячный план'!$L$2:$L$89,"Повторил")</f>
        <v>10</v>
      </c>
      <c r="G12" s="5">
        <f>IFERROR(F12/E12,0)</f>
        <v>0.55555555555555558</v>
      </c>
    </row>
    <row r="13" spans="1:7" ht="30" x14ac:dyDescent="0.25">
      <c r="A13" s="4" t="s">
        <v>28</v>
      </c>
      <c r="D13" t="s">
        <v>11</v>
      </c>
      <c r="E13">
        <f>COUNTIF('Месячный план'!$C$2:$C$89,D13)</f>
        <v>21</v>
      </c>
      <c r="F13">
        <f>COUNTIFS('Месячный план'!$C$2:$C$89,D13,'Месячный план'!$L$2:$L$89,"Решил сам")+COUNTIFS('Месячный план'!$C$2:$C$89,D13,'Месячный план'!$L$2:$L$89,"Повторил")</f>
        <v>0</v>
      </c>
      <c r="G13" s="5">
        <f>IFERROR(F13/E13,0)</f>
        <v>0</v>
      </c>
    </row>
    <row r="14" spans="1:7" x14ac:dyDescent="0.25">
      <c r="A14" s="4" t="s">
        <v>29</v>
      </c>
      <c r="D14" t="s">
        <v>14</v>
      </c>
      <c r="E14">
        <f>COUNTIF('Месячный план'!$C$2:$C$89,D14)</f>
        <v>22</v>
      </c>
      <c r="F14">
        <f>COUNTIFS('Месячный план'!$C$2:$C$89,D14,'Месячный план'!$L$2:$L$89,"Решил сам")+COUNTIFS('Месячный план'!$C$2:$C$89,D14,'Месячный план'!$L$2:$L$89,"Повторил")</f>
        <v>0</v>
      </c>
      <c r="G14" s="5">
        <f>IFERROR(F14/E14,0)</f>
        <v>0</v>
      </c>
    </row>
    <row r="15" spans="1:7" x14ac:dyDescent="0.25">
      <c r="A15" s="4" t="s">
        <v>30</v>
      </c>
      <c r="D15" t="s">
        <v>17</v>
      </c>
      <c r="E15">
        <f>COUNTIF('Месячный план'!$C$2:$C$89,D15)</f>
        <v>21</v>
      </c>
      <c r="F15">
        <f>COUNTIFS('Месячный план'!$C$2:$C$89,D15,'Месячный план'!$L$2:$L$89,"Решил сам")+COUNTIFS('Месячный план'!$C$2:$C$89,D15,'Месячный план'!$L$2:$L$89,"Повторил")</f>
        <v>0</v>
      </c>
      <c r="G15" s="5">
        <f>IFERROR(F15/E15,0)</f>
        <v>0</v>
      </c>
    </row>
    <row r="16" spans="1:7" ht="30" x14ac:dyDescent="0.25">
      <c r="A16" s="4" t="s">
        <v>31</v>
      </c>
      <c r="D16" t="s">
        <v>20</v>
      </c>
      <c r="E16">
        <f>COUNTIF('Месячный план'!$C$2:$C$89,D16)</f>
        <v>6</v>
      </c>
      <c r="F16">
        <f>COUNTIFS('Месячный план'!$C$2:$C$89,D16,'Месячный план'!$L$2:$L$89,"Решил сам")+COUNTIFS('Месячный план'!$C$2:$C$89,D16,'Месячный план'!$L$2:$L$89,"Повторил")</f>
        <v>0</v>
      </c>
      <c r="G16" s="5">
        <f>IFERROR(F16/E16,0)</f>
        <v>0</v>
      </c>
    </row>
    <row r="18" spans="1:7" ht="24" customHeight="1" x14ac:dyDescent="0.25">
      <c r="A18" s="35" t="s">
        <v>32</v>
      </c>
      <c r="B18" s="34"/>
      <c r="C18" s="34"/>
      <c r="D18" s="34"/>
      <c r="E18" s="34"/>
      <c r="F18" s="34"/>
      <c r="G18" s="34"/>
    </row>
  </sheetData>
  <mergeCells count="2">
    <mergeCell ref="A1:G1"/>
    <mergeCell ref="A18:G18"/>
  </mergeCells>
  <conditionalFormatting sqref="E3:E9">
    <cfRule type="dataBar" priority="1">
      <dataBar>
        <cfvo type="min"/>
        <cfvo type="max"/>
        <color rgb="FF2563EB"/>
      </dataBar>
    </cfRule>
    <cfRule type="dataBar" priority="3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{A1CCF684-FE46-F072-271C-E65D49F46FD2}</x14:id>
        </ext>
      </extLst>
    </cfRule>
  </conditionalFormatting>
  <conditionalFormatting sqref="G12:G16">
    <cfRule type="dataBar" priority="2">
      <dataBar>
        <cfvo type="min"/>
        <cfvo type="max"/>
        <color rgb="FF16A34A"/>
      </dataBar>
    </cfRule>
    <cfRule type="dataBar" priority="4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{7B622632-5A2A-6F6D-8D07-5EE2F09C1B75}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CF684-FE46-F072-271C-E65D49F46FD2}">
            <x14:dataBar>
              <x14:cfvo type="min"/>
              <x14:cfvo type="max"/>
              <x14:negativeFillColor auto="1"/>
              <x14:axisColor auto="1"/>
            </x14:dataBar>
          </x14:cfRule>
          <xm:sqref>E3:E9</xm:sqref>
        </x14:conditionalFormatting>
        <x14:conditionalFormatting xmlns:xm="http://schemas.microsoft.com/office/excel/2006/main">
          <x14:cfRule type="dataBar" id="{7B622632-5A2A-6F6D-8D07-5EE2F09C1B75}">
            <x14:dataBar>
              <x14:cfvo type="min"/>
              <x14:cfvo type="max"/>
              <x14:negativeFillColor auto="1"/>
              <x14:axisColor auto="1"/>
            </x14:dataBar>
          </x14:cfRule>
          <xm:sqref>G12:G16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9"/>
  <sheetViews>
    <sheetView tabSelected="1" topLeftCell="B1" workbookViewId="0">
      <selection activeCell="L17" sqref="L17"/>
    </sheetView>
  </sheetViews>
  <sheetFormatPr defaultRowHeight="15" x14ac:dyDescent="0.25"/>
  <cols>
    <col min="1" max="1" width="8" customWidth="1"/>
    <col min="2" max="4" width="12" customWidth="1"/>
    <col min="5" max="5" width="34" customWidth="1"/>
    <col min="6" max="6" width="12" customWidth="1"/>
    <col min="7" max="7" width="24" customWidth="1"/>
    <col min="8" max="8" width="26" customWidth="1"/>
    <col min="9" max="9" width="18" customWidth="1"/>
    <col min="10" max="10" width="44" customWidth="1"/>
    <col min="11" max="12" width="18" customWidth="1"/>
    <col min="13" max="14" width="12" customWidth="1"/>
    <col min="15" max="15" width="38" customWidth="1"/>
    <col min="16" max="16" width="42" customWidth="1"/>
    <col min="17" max="17" width="22" customWidth="1"/>
  </cols>
  <sheetData>
    <row r="1" spans="1:17" x14ac:dyDescent="0.25">
      <c r="A1" s="1" t="s">
        <v>33</v>
      </c>
      <c r="B1" s="1" t="s">
        <v>34</v>
      </c>
      <c r="C1" s="1" t="s">
        <v>5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3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</row>
    <row r="2" spans="1:17" ht="30" x14ac:dyDescent="0.25">
      <c r="A2" s="2">
        <v>1</v>
      </c>
      <c r="B2" s="3">
        <v>46196</v>
      </c>
      <c r="C2" s="2" t="s">
        <v>8</v>
      </c>
      <c r="D2" s="2">
        <v>1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19</v>
      </c>
      <c r="M2" s="3">
        <v>46197</v>
      </c>
      <c r="N2" s="3">
        <v>46203</v>
      </c>
      <c r="O2" s="2"/>
      <c r="P2" s="2" t="s">
        <v>55</v>
      </c>
      <c r="Q2" s="2" t="s">
        <v>56</v>
      </c>
    </row>
    <row r="3" spans="1:17" x14ac:dyDescent="0.25">
      <c r="A3" s="2">
        <v>1</v>
      </c>
      <c r="B3" s="3">
        <v>46196</v>
      </c>
      <c r="C3" s="2" t="s">
        <v>8</v>
      </c>
      <c r="D3" s="2">
        <v>217</v>
      </c>
      <c r="E3" s="2" t="s">
        <v>57</v>
      </c>
      <c r="F3" s="2" t="s">
        <v>49</v>
      </c>
      <c r="G3" s="2" t="s">
        <v>58</v>
      </c>
      <c r="H3" s="2" t="s">
        <v>59</v>
      </c>
      <c r="I3" s="2" t="s">
        <v>52</v>
      </c>
      <c r="J3" s="2" t="s">
        <v>60</v>
      </c>
      <c r="K3" s="2" t="s">
        <v>61</v>
      </c>
      <c r="L3" s="2" t="s">
        <v>19</v>
      </c>
      <c r="M3" s="3">
        <v>46197</v>
      </c>
      <c r="N3" s="3">
        <v>46203</v>
      </c>
      <c r="O3" s="2"/>
      <c r="P3" s="2" t="s">
        <v>62</v>
      </c>
      <c r="Q3" s="2" t="s">
        <v>56</v>
      </c>
    </row>
    <row r="4" spans="1:17" x14ac:dyDescent="0.25">
      <c r="A4" s="2">
        <v>2</v>
      </c>
      <c r="B4" s="3">
        <v>46197</v>
      </c>
      <c r="C4" s="2" t="s">
        <v>8</v>
      </c>
      <c r="D4" s="2">
        <v>242</v>
      </c>
      <c r="E4" s="2" t="s">
        <v>63</v>
      </c>
      <c r="F4" s="2" t="s">
        <v>49</v>
      </c>
      <c r="G4" s="2" t="s">
        <v>64</v>
      </c>
      <c r="H4" s="2" t="s">
        <v>65</v>
      </c>
      <c r="I4" s="2" t="s">
        <v>52</v>
      </c>
      <c r="J4" s="2" t="s">
        <v>66</v>
      </c>
      <c r="K4" s="2" t="s">
        <v>54</v>
      </c>
      <c r="L4" s="2" t="s">
        <v>19</v>
      </c>
      <c r="M4" s="3">
        <v>46198</v>
      </c>
      <c r="N4" s="3">
        <v>46204</v>
      </c>
      <c r="O4" s="2"/>
      <c r="P4" s="2" t="s">
        <v>67</v>
      </c>
      <c r="Q4" s="2" t="s">
        <v>56</v>
      </c>
    </row>
    <row r="5" spans="1:17" ht="30" x14ac:dyDescent="0.25">
      <c r="A5" s="2">
        <v>2</v>
      </c>
      <c r="B5" s="3">
        <v>46197</v>
      </c>
      <c r="C5" s="2" t="s">
        <v>8</v>
      </c>
      <c r="D5" s="2">
        <v>387</v>
      </c>
      <c r="E5" s="2" t="s">
        <v>68</v>
      </c>
      <c r="F5" s="2" t="s">
        <v>49</v>
      </c>
      <c r="G5" s="2" t="s">
        <v>64</v>
      </c>
      <c r="H5" s="2" t="s">
        <v>65</v>
      </c>
      <c r="I5" s="2" t="s">
        <v>52</v>
      </c>
      <c r="J5" s="2" t="s">
        <v>69</v>
      </c>
      <c r="K5" s="2" t="s">
        <v>54</v>
      </c>
      <c r="L5" s="2" t="s">
        <v>19</v>
      </c>
      <c r="M5" s="3">
        <v>46198</v>
      </c>
      <c r="N5" s="3">
        <v>46204</v>
      </c>
      <c r="O5" s="2"/>
      <c r="P5" s="2" t="s">
        <v>70</v>
      </c>
      <c r="Q5" s="2" t="s">
        <v>56</v>
      </c>
    </row>
    <row r="6" spans="1:17" x14ac:dyDescent="0.25">
      <c r="A6" s="2">
        <v>3</v>
      </c>
      <c r="B6" s="3">
        <v>46198</v>
      </c>
      <c r="C6" s="2" t="s">
        <v>8</v>
      </c>
      <c r="D6" s="2">
        <v>383</v>
      </c>
      <c r="E6" s="2" t="s">
        <v>71</v>
      </c>
      <c r="F6" s="2" t="s">
        <v>49</v>
      </c>
      <c r="G6" s="2" t="s">
        <v>64</v>
      </c>
      <c r="H6" s="2" t="s">
        <v>72</v>
      </c>
      <c r="I6" s="2" t="s">
        <v>52</v>
      </c>
      <c r="J6" s="2" t="s">
        <v>73</v>
      </c>
      <c r="K6" s="2" t="s">
        <v>61</v>
      </c>
      <c r="L6" s="2" t="s">
        <v>19</v>
      </c>
      <c r="M6" s="3">
        <v>46199</v>
      </c>
      <c r="N6" s="3">
        <v>46205</v>
      </c>
      <c r="O6" s="2"/>
      <c r="P6" s="2" t="s">
        <v>74</v>
      </c>
      <c r="Q6" s="2" t="s">
        <v>56</v>
      </c>
    </row>
    <row r="7" spans="1:17" x14ac:dyDescent="0.25">
      <c r="A7" s="2">
        <v>3</v>
      </c>
      <c r="B7" s="3">
        <v>46198</v>
      </c>
      <c r="C7" s="2" t="s">
        <v>8</v>
      </c>
      <c r="D7" s="2">
        <v>49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19</v>
      </c>
      <c r="M7" s="3">
        <v>46199</v>
      </c>
      <c r="N7" s="3">
        <v>46205</v>
      </c>
      <c r="O7" s="2"/>
      <c r="P7" s="2" t="s">
        <v>82</v>
      </c>
      <c r="Q7" s="2" t="s">
        <v>56</v>
      </c>
    </row>
    <row r="8" spans="1:17" ht="30" x14ac:dyDescent="0.25">
      <c r="A8" s="2">
        <v>4</v>
      </c>
      <c r="B8" s="3">
        <v>46199</v>
      </c>
      <c r="C8" s="2" t="s">
        <v>8</v>
      </c>
      <c r="D8" s="2">
        <v>283</v>
      </c>
      <c r="E8" s="2" t="s">
        <v>83</v>
      </c>
      <c r="F8" s="2" t="s">
        <v>49</v>
      </c>
      <c r="G8" s="2" t="s">
        <v>84</v>
      </c>
      <c r="H8" s="2" t="s">
        <v>85</v>
      </c>
      <c r="I8" s="2" t="s">
        <v>52</v>
      </c>
      <c r="J8" s="2" t="s">
        <v>86</v>
      </c>
      <c r="K8" s="2" t="s">
        <v>54</v>
      </c>
      <c r="L8" s="2" t="s">
        <v>16</v>
      </c>
      <c r="M8" s="3">
        <v>46200</v>
      </c>
      <c r="N8" s="3">
        <v>46206</v>
      </c>
      <c r="O8" s="2" t="s">
        <v>87</v>
      </c>
      <c r="P8" s="2" t="s">
        <v>88</v>
      </c>
      <c r="Q8" s="2" t="s">
        <v>56</v>
      </c>
    </row>
    <row r="9" spans="1:17" x14ac:dyDescent="0.25">
      <c r="A9" s="2">
        <v>4</v>
      </c>
      <c r="B9" s="3">
        <v>46199</v>
      </c>
      <c r="C9" s="2" t="s">
        <v>8</v>
      </c>
      <c r="D9" s="2">
        <v>27</v>
      </c>
      <c r="E9" s="2" t="s">
        <v>89</v>
      </c>
      <c r="F9" s="2" t="s">
        <v>49</v>
      </c>
      <c r="G9" s="2" t="s">
        <v>84</v>
      </c>
      <c r="H9" s="2" t="s">
        <v>85</v>
      </c>
      <c r="I9" s="2" t="s">
        <v>52</v>
      </c>
      <c r="J9" s="2" t="s">
        <v>90</v>
      </c>
      <c r="K9" s="2" t="s">
        <v>54</v>
      </c>
      <c r="L9" s="2" t="s">
        <v>16</v>
      </c>
      <c r="M9" s="3">
        <v>46200</v>
      </c>
      <c r="N9" s="3">
        <v>46206</v>
      </c>
      <c r="O9" s="2" t="s">
        <v>87</v>
      </c>
      <c r="P9" s="2" t="s">
        <v>91</v>
      </c>
      <c r="Q9" s="2" t="s">
        <v>56</v>
      </c>
    </row>
    <row r="10" spans="1:17" ht="30" x14ac:dyDescent="0.25">
      <c r="A10" s="2">
        <v>5</v>
      </c>
      <c r="B10" s="3">
        <v>46200</v>
      </c>
      <c r="C10" s="2" t="s">
        <v>8</v>
      </c>
      <c r="D10" s="2">
        <v>125</v>
      </c>
      <c r="E10" s="2" t="s">
        <v>92</v>
      </c>
      <c r="F10" s="2" t="s">
        <v>49</v>
      </c>
      <c r="G10" s="2" t="s">
        <v>93</v>
      </c>
      <c r="H10" s="2" t="s">
        <v>94</v>
      </c>
      <c r="I10" s="2" t="s">
        <v>52</v>
      </c>
      <c r="J10" s="2" t="s">
        <v>95</v>
      </c>
      <c r="K10" s="2" t="s">
        <v>96</v>
      </c>
      <c r="L10" s="2" t="s">
        <v>19</v>
      </c>
      <c r="M10" s="3">
        <v>46201</v>
      </c>
      <c r="N10" s="3">
        <v>46207</v>
      </c>
      <c r="O10" s="2" t="s">
        <v>97</v>
      </c>
      <c r="P10" s="2" t="s">
        <v>98</v>
      </c>
      <c r="Q10" s="2" t="s">
        <v>56</v>
      </c>
    </row>
    <row r="11" spans="1:17" ht="30" x14ac:dyDescent="0.25">
      <c r="A11" s="2">
        <v>5</v>
      </c>
      <c r="B11" s="3">
        <v>46200</v>
      </c>
      <c r="C11" s="2" t="s">
        <v>8</v>
      </c>
      <c r="D11" s="2">
        <v>167</v>
      </c>
      <c r="E11" s="2" t="s">
        <v>99</v>
      </c>
      <c r="F11" s="2" t="s">
        <v>76</v>
      </c>
      <c r="G11" s="2" t="s">
        <v>93</v>
      </c>
      <c r="H11" s="2" t="s">
        <v>94</v>
      </c>
      <c r="I11" s="2" t="s">
        <v>79</v>
      </c>
      <c r="J11" s="2" t="s">
        <v>100</v>
      </c>
      <c r="K11" s="2" t="s">
        <v>81</v>
      </c>
      <c r="L11" s="2" t="s">
        <v>19</v>
      </c>
      <c r="M11" s="3">
        <v>46201</v>
      </c>
      <c r="N11" s="3">
        <v>46207</v>
      </c>
      <c r="O11" s="2"/>
      <c r="P11" s="2" t="s">
        <v>101</v>
      </c>
      <c r="Q11" s="2" t="s">
        <v>56</v>
      </c>
    </row>
    <row r="12" spans="1:17" ht="30" x14ac:dyDescent="0.25">
      <c r="A12" s="2">
        <v>5</v>
      </c>
      <c r="B12" s="3">
        <v>46200</v>
      </c>
      <c r="C12" s="2" t="s">
        <v>8</v>
      </c>
      <c r="D12" s="2">
        <v>977</v>
      </c>
      <c r="E12" s="2" t="s">
        <v>102</v>
      </c>
      <c r="F12" s="2" t="s">
        <v>49</v>
      </c>
      <c r="G12" s="2" t="s">
        <v>93</v>
      </c>
      <c r="H12" s="2" t="s">
        <v>94</v>
      </c>
      <c r="I12" s="2" t="s">
        <v>103</v>
      </c>
      <c r="J12" s="2" t="s">
        <v>104</v>
      </c>
      <c r="K12" s="2" t="s">
        <v>96</v>
      </c>
      <c r="L12" s="2" t="s">
        <v>16</v>
      </c>
      <c r="M12" s="3">
        <v>46201</v>
      </c>
      <c r="N12" s="3">
        <v>46207</v>
      </c>
      <c r="O12" s="2"/>
      <c r="P12" s="2" t="s">
        <v>105</v>
      </c>
      <c r="Q12" s="2" t="s">
        <v>56</v>
      </c>
    </row>
    <row r="13" spans="1:17" ht="30" x14ac:dyDescent="0.25">
      <c r="A13" s="2">
        <v>6</v>
      </c>
      <c r="B13" s="3">
        <v>46201</v>
      </c>
      <c r="C13" s="2" t="s">
        <v>8</v>
      </c>
      <c r="D13" s="2">
        <v>1480</v>
      </c>
      <c r="E13" s="2" t="s">
        <v>106</v>
      </c>
      <c r="F13" s="2" t="s">
        <v>49</v>
      </c>
      <c r="G13" s="2" t="s">
        <v>107</v>
      </c>
      <c r="H13" s="2" t="s">
        <v>108</v>
      </c>
      <c r="I13" s="2" t="s">
        <v>52</v>
      </c>
      <c r="J13" s="2" t="s">
        <v>109</v>
      </c>
      <c r="K13" s="2" t="s">
        <v>61</v>
      </c>
      <c r="L13" s="2" t="s">
        <v>19</v>
      </c>
      <c r="M13" s="3">
        <v>46202</v>
      </c>
      <c r="N13" s="3">
        <v>46208</v>
      </c>
      <c r="O13" s="2"/>
      <c r="P13" s="2" t="s">
        <v>110</v>
      </c>
      <c r="Q13" s="2" t="s">
        <v>56</v>
      </c>
    </row>
    <row r="14" spans="1:17" ht="30" x14ac:dyDescent="0.25">
      <c r="A14" s="2">
        <v>6</v>
      </c>
      <c r="B14" s="3">
        <v>46201</v>
      </c>
      <c r="C14" s="2" t="s">
        <v>8</v>
      </c>
      <c r="D14" s="2">
        <v>303</v>
      </c>
      <c r="E14" s="2" t="s">
        <v>111</v>
      </c>
      <c r="F14" s="2" t="s">
        <v>49</v>
      </c>
      <c r="G14" s="2" t="s">
        <v>107</v>
      </c>
      <c r="H14" s="2" t="s">
        <v>112</v>
      </c>
      <c r="I14" s="2" t="s">
        <v>52</v>
      </c>
      <c r="J14" s="2" t="s">
        <v>113</v>
      </c>
      <c r="K14" s="2" t="s">
        <v>96</v>
      </c>
      <c r="L14" s="2" t="s">
        <v>16</v>
      </c>
      <c r="M14" s="3">
        <v>46202</v>
      </c>
      <c r="N14" s="3">
        <v>46208</v>
      </c>
      <c r="O14" s="2" t="s">
        <v>114</v>
      </c>
      <c r="P14" s="2" t="s">
        <v>115</v>
      </c>
      <c r="Q14" s="2" t="s">
        <v>56</v>
      </c>
    </row>
    <row r="15" spans="1:17" ht="30" x14ac:dyDescent="0.25">
      <c r="A15" s="2">
        <v>6</v>
      </c>
      <c r="B15" s="3">
        <v>46201</v>
      </c>
      <c r="C15" s="2" t="s">
        <v>8</v>
      </c>
      <c r="D15" s="2">
        <v>560</v>
      </c>
      <c r="E15" s="2" t="s">
        <v>116</v>
      </c>
      <c r="F15" s="2" t="s">
        <v>76</v>
      </c>
      <c r="G15" s="2" t="s">
        <v>117</v>
      </c>
      <c r="H15" s="2" t="s">
        <v>118</v>
      </c>
      <c r="I15" s="2" t="s">
        <v>119</v>
      </c>
      <c r="J15" s="2" t="s">
        <v>120</v>
      </c>
      <c r="K15" s="2" t="s">
        <v>81</v>
      </c>
      <c r="L15" s="2" t="s">
        <v>22</v>
      </c>
      <c r="M15" s="3">
        <v>46202</v>
      </c>
      <c r="N15" s="3">
        <v>46208</v>
      </c>
      <c r="O15" s="2"/>
      <c r="P15" s="39" t="s">
        <v>121</v>
      </c>
      <c r="Q15" s="2" t="s">
        <v>56</v>
      </c>
    </row>
    <row r="16" spans="1:17" ht="30" x14ac:dyDescent="0.25">
      <c r="A16" s="2">
        <v>7</v>
      </c>
      <c r="B16" s="3">
        <v>46202</v>
      </c>
      <c r="C16" s="2" t="s">
        <v>8</v>
      </c>
      <c r="D16" s="2">
        <v>1</v>
      </c>
      <c r="E16" s="2" t="s">
        <v>122</v>
      </c>
      <c r="F16" s="2" t="s">
        <v>49</v>
      </c>
      <c r="G16" s="2" t="s">
        <v>50</v>
      </c>
      <c r="H16" s="2" t="s">
        <v>51</v>
      </c>
      <c r="I16" s="2" t="s">
        <v>123</v>
      </c>
      <c r="J16" s="2" t="s">
        <v>124</v>
      </c>
      <c r="K16" s="2" t="s">
        <v>125</v>
      </c>
      <c r="L16" s="2" t="s">
        <v>21</v>
      </c>
      <c r="M16" s="3">
        <v>46209</v>
      </c>
      <c r="N16" s="3">
        <v>46216</v>
      </c>
      <c r="O16" s="2"/>
      <c r="P16" s="2" t="s">
        <v>55</v>
      </c>
      <c r="Q16" s="2" t="s">
        <v>126</v>
      </c>
    </row>
    <row r="17" spans="1:17" x14ac:dyDescent="0.25">
      <c r="A17" s="2">
        <v>7</v>
      </c>
      <c r="B17" s="3">
        <v>46202</v>
      </c>
      <c r="C17" s="2" t="s">
        <v>8</v>
      </c>
      <c r="D17" s="2">
        <v>242</v>
      </c>
      <c r="E17" s="2" t="s">
        <v>127</v>
      </c>
      <c r="F17" s="2" t="s">
        <v>49</v>
      </c>
      <c r="G17" s="2" t="s">
        <v>64</v>
      </c>
      <c r="H17" s="2" t="s">
        <v>65</v>
      </c>
      <c r="I17" s="2" t="s">
        <v>123</v>
      </c>
      <c r="J17" s="2" t="s">
        <v>128</v>
      </c>
      <c r="K17" s="2" t="s">
        <v>125</v>
      </c>
      <c r="L17" s="2" t="s">
        <v>7</v>
      </c>
      <c r="M17" s="3">
        <v>46209</v>
      </c>
      <c r="N17" s="3">
        <v>46216</v>
      </c>
      <c r="O17" s="2"/>
      <c r="P17" s="2" t="s">
        <v>67</v>
      </c>
      <c r="Q17" s="2" t="s">
        <v>126</v>
      </c>
    </row>
    <row r="18" spans="1:17" x14ac:dyDescent="0.25">
      <c r="A18" s="2">
        <v>7</v>
      </c>
      <c r="B18" s="3">
        <v>46202</v>
      </c>
      <c r="C18" s="2" t="s">
        <v>8</v>
      </c>
      <c r="D18" s="2">
        <v>283</v>
      </c>
      <c r="E18" s="2" t="s">
        <v>129</v>
      </c>
      <c r="F18" s="2" t="s">
        <v>49</v>
      </c>
      <c r="G18" s="2" t="s">
        <v>84</v>
      </c>
      <c r="H18" s="2" t="s">
        <v>85</v>
      </c>
      <c r="I18" s="2" t="s">
        <v>123</v>
      </c>
      <c r="J18" s="2" t="s">
        <v>128</v>
      </c>
      <c r="K18" s="2" t="s">
        <v>130</v>
      </c>
      <c r="L18" s="2" t="s">
        <v>7</v>
      </c>
      <c r="M18" s="3">
        <v>46209</v>
      </c>
      <c r="N18" s="3">
        <v>46216</v>
      </c>
      <c r="O18" s="2"/>
      <c r="P18" s="2" t="s">
        <v>88</v>
      </c>
      <c r="Q18" s="2" t="s">
        <v>126</v>
      </c>
    </row>
    <row r="19" spans="1:17" x14ac:dyDescent="0.25">
      <c r="A19" s="2">
        <v>7</v>
      </c>
      <c r="B19" s="3">
        <v>46202</v>
      </c>
      <c r="C19" s="2" t="s">
        <v>8</v>
      </c>
      <c r="D19" s="2">
        <v>125</v>
      </c>
      <c r="E19" s="2" t="s">
        <v>131</v>
      </c>
      <c r="F19" s="2" t="s">
        <v>49</v>
      </c>
      <c r="G19" s="2" t="s">
        <v>93</v>
      </c>
      <c r="H19" s="2" t="s">
        <v>94</v>
      </c>
      <c r="I19" s="2" t="s">
        <v>123</v>
      </c>
      <c r="J19" s="2" t="s">
        <v>128</v>
      </c>
      <c r="K19" s="2" t="s">
        <v>130</v>
      </c>
      <c r="L19" s="2" t="s">
        <v>7</v>
      </c>
      <c r="M19" s="3">
        <v>46209</v>
      </c>
      <c r="N19" s="3">
        <v>46216</v>
      </c>
      <c r="O19" s="2"/>
      <c r="P19" s="2" t="s">
        <v>98</v>
      </c>
      <c r="Q19" s="2" t="s">
        <v>126</v>
      </c>
    </row>
    <row r="20" spans="1:17" x14ac:dyDescent="0.25">
      <c r="A20" s="2">
        <v>8</v>
      </c>
      <c r="B20" s="3">
        <v>46203</v>
      </c>
      <c r="C20" s="2" t="s">
        <v>11</v>
      </c>
      <c r="D20" s="2">
        <v>20</v>
      </c>
      <c r="E20" s="2" t="s">
        <v>132</v>
      </c>
      <c r="F20" s="2" t="s">
        <v>49</v>
      </c>
      <c r="G20" s="2" t="s">
        <v>133</v>
      </c>
      <c r="H20" s="2" t="s">
        <v>134</v>
      </c>
      <c r="I20" s="2" t="s">
        <v>52</v>
      </c>
      <c r="J20" s="2" t="s">
        <v>135</v>
      </c>
      <c r="K20" s="2" t="s">
        <v>54</v>
      </c>
      <c r="L20" s="2" t="s">
        <v>7</v>
      </c>
      <c r="M20" s="3">
        <v>46204</v>
      </c>
      <c r="N20" s="3">
        <v>46210</v>
      </c>
      <c r="O20" s="2"/>
      <c r="P20" s="2" t="s">
        <v>136</v>
      </c>
      <c r="Q20" s="2" t="s">
        <v>137</v>
      </c>
    </row>
    <row r="21" spans="1:17" x14ac:dyDescent="0.25">
      <c r="A21" s="2">
        <v>8</v>
      </c>
      <c r="B21" s="3">
        <v>46203</v>
      </c>
      <c r="C21" s="2" t="s">
        <v>11</v>
      </c>
      <c r="D21" s="2">
        <v>155</v>
      </c>
      <c r="E21" s="2" t="s">
        <v>138</v>
      </c>
      <c r="F21" s="2" t="s">
        <v>76</v>
      </c>
      <c r="G21" s="2" t="s">
        <v>133</v>
      </c>
      <c r="H21" s="2" t="s">
        <v>139</v>
      </c>
      <c r="I21" s="2" t="s">
        <v>79</v>
      </c>
      <c r="J21" s="2" t="s">
        <v>140</v>
      </c>
      <c r="K21" s="2" t="s">
        <v>81</v>
      </c>
      <c r="L21" s="2" t="s">
        <v>7</v>
      </c>
      <c r="M21" s="3">
        <v>46204</v>
      </c>
      <c r="N21" s="3">
        <v>46210</v>
      </c>
      <c r="O21" s="2"/>
      <c r="P21" s="2" t="s">
        <v>141</v>
      </c>
      <c r="Q21" s="2" t="s">
        <v>142</v>
      </c>
    </row>
    <row r="22" spans="1:17" ht="30" x14ac:dyDescent="0.25">
      <c r="A22" s="2">
        <v>8</v>
      </c>
      <c r="B22" s="3">
        <v>46203</v>
      </c>
      <c r="C22" s="2" t="s">
        <v>11</v>
      </c>
      <c r="D22" s="2">
        <v>232</v>
      </c>
      <c r="E22" s="2" t="s">
        <v>143</v>
      </c>
      <c r="F22" s="2" t="s">
        <v>49</v>
      </c>
      <c r="G22" s="2" t="s">
        <v>144</v>
      </c>
      <c r="H22" s="2" t="s">
        <v>145</v>
      </c>
      <c r="I22" s="2" t="s">
        <v>103</v>
      </c>
      <c r="J22" s="2" t="s">
        <v>146</v>
      </c>
      <c r="K22" s="2" t="s">
        <v>96</v>
      </c>
      <c r="L22" s="2" t="s">
        <v>7</v>
      </c>
      <c r="M22" s="3">
        <v>46204</v>
      </c>
      <c r="N22" s="3">
        <v>46210</v>
      </c>
      <c r="O22" s="2"/>
      <c r="P22" s="2" t="s">
        <v>147</v>
      </c>
      <c r="Q22" s="2" t="s">
        <v>148</v>
      </c>
    </row>
    <row r="23" spans="1:17" ht="30" x14ac:dyDescent="0.25">
      <c r="A23" s="2">
        <v>9</v>
      </c>
      <c r="B23" s="3">
        <v>46204</v>
      </c>
      <c r="C23" s="2" t="s">
        <v>11</v>
      </c>
      <c r="D23" s="2">
        <v>150</v>
      </c>
      <c r="E23" s="2" t="s">
        <v>149</v>
      </c>
      <c r="F23" s="2" t="s">
        <v>76</v>
      </c>
      <c r="G23" s="2" t="s">
        <v>133</v>
      </c>
      <c r="H23" s="2" t="s">
        <v>150</v>
      </c>
      <c r="I23" s="2" t="s">
        <v>52</v>
      </c>
      <c r="J23" s="2" t="s">
        <v>151</v>
      </c>
      <c r="K23" s="2" t="s">
        <v>81</v>
      </c>
      <c r="L23" s="2" t="s">
        <v>7</v>
      </c>
      <c r="M23" s="3">
        <v>46205</v>
      </c>
      <c r="N23" s="3">
        <v>46211</v>
      </c>
      <c r="O23" s="2"/>
      <c r="P23" s="2" t="s">
        <v>152</v>
      </c>
      <c r="Q23" s="2" t="s">
        <v>142</v>
      </c>
    </row>
    <row r="24" spans="1:17" ht="30" x14ac:dyDescent="0.25">
      <c r="A24" s="2">
        <v>9</v>
      </c>
      <c r="B24" s="3">
        <v>46204</v>
      </c>
      <c r="C24" s="2" t="s">
        <v>11</v>
      </c>
      <c r="D24" s="2">
        <v>496</v>
      </c>
      <c r="E24" s="2" t="s">
        <v>153</v>
      </c>
      <c r="F24" s="2" t="s">
        <v>49</v>
      </c>
      <c r="G24" s="2" t="s">
        <v>154</v>
      </c>
      <c r="H24" s="2" t="s">
        <v>155</v>
      </c>
      <c r="I24" s="2" t="s">
        <v>52</v>
      </c>
      <c r="J24" s="2" t="s">
        <v>156</v>
      </c>
      <c r="K24" s="2" t="s">
        <v>96</v>
      </c>
      <c r="L24" s="2" t="s">
        <v>7</v>
      </c>
      <c r="M24" s="3">
        <v>46205</v>
      </c>
      <c r="N24" s="3">
        <v>46211</v>
      </c>
      <c r="O24" s="2"/>
      <c r="P24" s="2" t="s">
        <v>157</v>
      </c>
      <c r="Q24" s="2" t="s">
        <v>148</v>
      </c>
    </row>
    <row r="25" spans="1:17" ht="30" x14ac:dyDescent="0.25">
      <c r="A25" s="2">
        <v>9</v>
      </c>
      <c r="B25" s="3">
        <v>46204</v>
      </c>
      <c r="C25" s="2" t="s">
        <v>11</v>
      </c>
      <c r="D25" s="2">
        <v>739</v>
      </c>
      <c r="E25" s="2" t="s">
        <v>158</v>
      </c>
      <c r="F25" s="2" t="s">
        <v>76</v>
      </c>
      <c r="G25" s="2" t="s">
        <v>154</v>
      </c>
      <c r="H25" s="2" t="s">
        <v>155</v>
      </c>
      <c r="I25" s="2" t="s">
        <v>79</v>
      </c>
      <c r="J25" s="2" t="s">
        <v>159</v>
      </c>
      <c r="K25" s="2" t="s">
        <v>160</v>
      </c>
      <c r="L25" s="2" t="s">
        <v>7</v>
      </c>
      <c r="M25" s="3">
        <v>46205</v>
      </c>
      <c r="N25" s="3">
        <v>46211</v>
      </c>
      <c r="O25" s="2"/>
      <c r="P25" s="2" t="s">
        <v>161</v>
      </c>
      <c r="Q25" s="2" t="s">
        <v>162</v>
      </c>
    </row>
    <row r="26" spans="1:17" x14ac:dyDescent="0.25">
      <c r="A26" s="2">
        <v>10</v>
      </c>
      <c r="B26" s="3">
        <v>46205</v>
      </c>
      <c r="C26" s="2" t="s">
        <v>11</v>
      </c>
      <c r="D26" s="2">
        <v>704</v>
      </c>
      <c r="E26" s="2" t="s">
        <v>163</v>
      </c>
      <c r="F26" s="2" t="s">
        <v>49</v>
      </c>
      <c r="G26" s="2" t="s">
        <v>163</v>
      </c>
      <c r="H26" s="2" t="s">
        <v>164</v>
      </c>
      <c r="I26" s="2" t="s">
        <v>52</v>
      </c>
      <c r="J26" s="2" t="s">
        <v>165</v>
      </c>
      <c r="K26" s="2" t="s">
        <v>54</v>
      </c>
      <c r="L26" s="2" t="s">
        <v>7</v>
      </c>
      <c r="M26" s="3">
        <v>46206</v>
      </c>
      <c r="N26" s="3">
        <v>46212</v>
      </c>
      <c r="O26" s="2"/>
      <c r="P26" s="2" t="s">
        <v>166</v>
      </c>
      <c r="Q26" s="2" t="s">
        <v>162</v>
      </c>
    </row>
    <row r="27" spans="1:17" ht="30" x14ac:dyDescent="0.25">
      <c r="A27" s="2">
        <v>10</v>
      </c>
      <c r="B27" s="3">
        <v>46205</v>
      </c>
      <c r="C27" s="2" t="s">
        <v>11</v>
      </c>
      <c r="D27" s="2">
        <v>35</v>
      </c>
      <c r="E27" s="2" t="s">
        <v>167</v>
      </c>
      <c r="F27" s="2" t="s">
        <v>49</v>
      </c>
      <c r="G27" s="2" t="s">
        <v>163</v>
      </c>
      <c r="H27" s="2" t="s">
        <v>168</v>
      </c>
      <c r="I27" s="2" t="s">
        <v>52</v>
      </c>
      <c r="J27" s="2" t="s">
        <v>169</v>
      </c>
      <c r="K27" s="2" t="s">
        <v>96</v>
      </c>
      <c r="L27" s="2" t="s">
        <v>7</v>
      </c>
      <c r="M27" s="3">
        <v>46206</v>
      </c>
      <c r="N27" s="3">
        <v>46212</v>
      </c>
      <c r="O27" s="2"/>
      <c r="P27" s="2" t="s">
        <v>170</v>
      </c>
      <c r="Q27" s="2" t="s">
        <v>142</v>
      </c>
    </row>
    <row r="28" spans="1:17" ht="30" x14ac:dyDescent="0.25">
      <c r="A28" s="2">
        <v>10</v>
      </c>
      <c r="B28" s="3">
        <v>46205</v>
      </c>
      <c r="C28" s="2" t="s">
        <v>11</v>
      </c>
      <c r="D28" s="2">
        <v>34</v>
      </c>
      <c r="E28" s="2" t="s">
        <v>171</v>
      </c>
      <c r="F28" s="2" t="s">
        <v>76</v>
      </c>
      <c r="G28" s="2" t="s">
        <v>163</v>
      </c>
      <c r="H28" s="2" t="s">
        <v>172</v>
      </c>
      <c r="I28" s="2" t="s">
        <v>79</v>
      </c>
      <c r="J28" s="2" t="s">
        <v>173</v>
      </c>
      <c r="K28" s="2" t="s">
        <v>174</v>
      </c>
      <c r="L28" s="2" t="s">
        <v>7</v>
      </c>
      <c r="M28" s="3">
        <v>46206</v>
      </c>
      <c r="N28" s="3">
        <v>46212</v>
      </c>
      <c r="O28" s="2"/>
      <c r="P28" s="2" t="s">
        <v>175</v>
      </c>
      <c r="Q28" s="2" t="s">
        <v>142</v>
      </c>
    </row>
    <row r="29" spans="1:17" x14ac:dyDescent="0.25">
      <c r="A29" s="2">
        <v>11</v>
      </c>
      <c r="B29" s="3">
        <v>46206</v>
      </c>
      <c r="C29" s="2" t="s">
        <v>11</v>
      </c>
      <c r="D29" s="2">
        <v>278</v>
      </c>
      <c r="E29" s="2" t="s">
        <v>176</v>
      </c>
      <c r="F29" s="2" t="s">
        <v>49</v>
      </c>
      <c r="G29" s="2" t="s">
        <v>163</v>
      </c>
      <c r="H29" s="2" t="s">
        <v>177</v>
      </c>
      <c r="I29" s="2" t="s">
        <v>52</v>
      </c>
      <c r="J29" s="2" t="s">
        <v>178</v>
      </c>
      <c r="K29" s="2" t="s">
        <v>54</v>
      </c>
      <c r="L29" s="2" t="s">
        <v>7</v>
      </c>
      <c r="M29" s="3">
        <v>46207</v>
      </c>
      <c r="N29" s="3">
        <v>46213</v>
      </c>
      <c r="O29" s="2"/>
      <c r="P29" s="2" t="s">
        <v>179</v>
      </c>
      <c r="Q29" s="2" t="s">
        <v>148</v>
      </c>
    </row>
    <row r="30" spans="1:17" ht="30" x14ac:dyDescent="0.25">
      <c r="A30" s="2">
        <v>11</v>
      </c>
      <c r="B30" s="3">
        <v>46206</v>
      </c>
      <c r="C30" s="2" t="s">
        <v>11</v>
      </c>
      <c r="D30" s="2">
        <v>153</v>
      </c>
      <c r="E30" s="2" t="s">
        <v>180</v>
      </c>
      <c r="F30" s="2" t="s">
        <v>76</v>
      </c>
      <c r="G30" s="2" t="s">
        <v>163</v>
      </c>
      <c r="H30" s="2" t="s">
        <v>181</v>
      </c>
      <c r="I30" s="2" t="s">
        <v>79</v>
      </c>
      <c r="J30" s="2" t="s">
        <v>182</v>
      </c>
      <c r="K30" s="2" t="s">
        <v>160</v>
      </c>
      <c r="L30" s="2" t="s">
        <v>7</v>
      </c>
      <c r="M30" s="3">
        <v>46207</v>
      </c>
      <c r="N30" s="3">
        <v>46213</v>
      </c>
      <c r="O30" s="2"/>
      <c r="P30" s="2" t="s">
        <v>183</v>
      </c>
      <c r="Q30" s="2" t="s">
        <v>142</v>
      </c>
    </row>
    <row r="31" spans="1:17" ht="30" x14ac:dyDescent="0.25">
      <c r="A31" s="2">
        <v>11</v>
      </c>
      <c r="B31" s="3">
        <v>46206</v>
      </c>
      <c r="C31" s="2" t="s">
        <v>11</v>
      </c>
      <c r="D31" s="2">
        <v>33</v>
      </c>
      <c r="E31" s="2" t="s">
        <v>184</v>
      </c>
      <c r="F31" s="2" t="s">
        <v>76</v>
      </c>
      <c r="G31" s="2" t="s">
        <v>163</v>
      </c>
      <c r="H31" s="2" t="s">
        <v>181</v>
      </c>
      <c r="I31" s="2" t="s">
        <v>119</v>
      </c>
      <c r="J31" s="2" t="s">
        <v>185</v>
      </c>
      <c r="K31" s="2" t="s">
        <v>174</v>
      </c>
      <c r="L31" s="2" t="s">
        <v>7</v>
      </c>
      <c r="M31" s="3">
        <v>46207</v>
      </c>
      <c r="N31" s="3">
        <v>46213</v>
      </c>
      <c r="O31" s="2"/>
      <c r="P31" s="2" t="s">
        <v>186</v>
      </c>
      <c r="Q31" s="2" t="s">
        <v>142</v>
      </c>
    </row>
    <row r="32" spans="1:17" x14ac:dyDescent="0.25">
      <c r="A32" s="2">
        <v>12</v>
      </c>
      <c r="B32" s="3">
        <v>46207</v>
      </c>
      <c r="C32" s="2" t="s">
        <v>11</v>
      </c>
      <c r="D32" s="2">
        <v>206</v>
      </c>
      <c r="E32" s="2" t="s">
        <v>187</v>
      </c>
      <c r="F32" s="2" t="s">
        <v>49</v>
      </c>
      <c r="G32" s="2" t="s">
        <v>188</v>
      </c>
      <c r="H32" s="2" t="s">
        <v>189</v>
      </c>
      <c r="I32" s="2" t="s">
        <v>52</v>
      </c>
      <c r="J32" s="2" t="s">
        <v>190</v>
      </c>
      <c r="K32" s="2" t="s">
        <v>81</v>
      </c>
      <c r="L32" s="2" t="s">
        <v>7</v>
      </c>
      <c r="M32" s="3">
        <v>46208</v>
      </c>
      <c r="N32" s="3">
        <v>46214</v>
      </c>
      <c r="O32" s="2"/>
      <c r="P32" s="2" t="s">
        <v>191</v>
      </c>
      <c r="Q32" s="2" t="s">
        <v>192</v>
      </c>
    </row>
    <row r="33" spans="1:17" ht="30" x14ac:dyDescent="0.25">
      <c r="A33" s="2">
        <v>12</v>
      </c>
      <c r="B33" s="3">
        <v>46207</v>
      </c>
      <c r="C33" s="2" t="s">
        <v>11</v>
      </c>
      <c r="D33" s="2">
        <v>21</v>
      </c>
      <c r="E33" s="2" t="s">
        <v>193</v>
      </c>
      <c r="F33" s="2" t="s">
        <v>49</v>
      </c>
      <c r="G33" s="2" t="s">
        <v>188</v>
      </c>
      <c r="H33" s="2" t="s">
        <v>194</v>
      </c>
      <c r="I33" s="2" t="s">
        <v>52</v>
      </c>
      <c r="J33" s="2" t="s">
        <v>195</v>
      </c>
      <c r="K33" s="2" t="s">
        <v>81</v>
      </c>
      <c r="L33" s="2" t="s">
        <v>7</v>
      </c>
      <c r="M33" s="3">
        <v>46208</v>
      </c>
      <c r="N33" s="3">
        <v>46214</v>
      </c>
      <c r="O33" s="2"/>
      <c r="P33" s="2" t="s">
        <v>196</v>
      </c>
      <c r="Q33" s="2" t="s">
        <v>142</v>
      </c>
    </row>
    <row r="34" spans="1:17" x14ac:dyDescent="0.25">
      <c r="A34" s="2">
        <v>12</v>
      </c>
      <c r="B34" s="3">
        <v>46207</v>
      </c>
      <c r="C34" s="2" t="s">
        <v>11</v>
      </c>
      <c r="D34" s="2">
        <v>141</v>
      </c>
      <c r="E34" s="2" t="s">
        <v>197</v>
      </c>
      <c r="F34" s="2" t="s">
        <v>49</v>
      </c>
      <c r="G34" s="2" t="s">
        <v>188</v>
      </c>
      <c r="H34" s="2" t="s">
        <v>198</v>
      </c>
      <c r="I34" s="2" t="s">
        <v>52</v>
      </c>
      <c r="J34" s="2" t="s">
        <v>199</v>
      </c>
      <c r="K34" s="2" t="s">
        <v>96</v>
      </c>
      <c r="L34" s="2" t="s">
        <v>7</v>
      </c>
      <c r="M34" s="3">
        <v>46208</v>
      </c>
      <c r="N34" s="3">
        <v>46214</v>
      </c>
      <c r="O34" s="2"/>
      <c r="P34" s="2" t="s">
        <v>200</v>
      </c>
      <c r="Q34" s="2" t="s">
        <v>142</v>
      </c>
    </row>
    <row r="35" spans="1:17" ht="30" x14ac:dyDescent="0.25">
      <c r="A35" s="2">
        <v>13</v>
      </c>
      <c r="B35" s="3">
        <v>46208</v>
      </c>
      <c r="C35" s="2" t="s">
        <v>11</v>
      </c>
      <c r="D35" s="2">
        <v>876</v>
      </c>
      <c r="E35" s="2" t="s">
        <v>201</v>
      </c>
      <c r="F35" s="2" t="s">
        <v>49</v>
      </c>
      <c r="G35" s="2" t="s">
        <v>188</v>
      </c>
      <c r="H35" s="2" t="s">
        <v>198</v>
      </c>
      <c r="I35" s="2" t="s">
        <v>52</v>
      </c>
      <c r="J35" s="2" t="s">
        <v>202</v>
      </c>
      <c r="K35" s="2" t="s">
        <v>54</v>
      </c>
      <c r="L35" s="2" t="s">
        <v>7</v>
      </c>
      <c r="M35" s="3">
        <v>46209</v>
      </c>
      <c r="N35" s="3">
        <v>46215</v>
      </c>
      <c r="O35" s="2"/>
      <c r="P35" s="2" t="s">
        <v>203</v>
      </c>
      <c r="Q35" s="2" t="s">
        <v>148</v>
      </c>
    </row>
    <row r="36" spans="1:17" ht="30" x14ac:dyDescent="0.25">
      <c r="A36" s="2">
        <v>13</v>
      </c>
      <c r="B36" s="3">
        <v>46208</v>
      </c>
      <c r="C36" s="2" t="s">
        <v>11</v>
      </c>
      <c r="D36" s="2">
        <v>19</v>
      </c>
      <c r="E36" s="2" t="s">
        <v>204</v>
      </c>
      <c r="F36" s="2" t="s">
        <v>76</v>
      </c>
      <c r="G36" s="2" t="s">
        <v>188</v>
      </c>
      <c r="H36" s="2" t="s">
        <v>205</v>
      </c>
      <c r="I36" s="2" t="s">
        <v>79</v>
      </c>
      <c r="J36" s="2" t="s">
        <v>206</v>
      </c>
      <c r="K36" s="2" t="s">
        <v>174</v>
      </c>
      <c r="L36" s="2" t="s">
        <v>7</v>
      </c>
      <c r="M36" s="3">
        <v>46209</v>
      </c>
      <c r="N36" s="3">
        <v>46215</v>
      </c>
      <c r="O36" s="2"/>
      <c r="P36" s="2" t="s">
        <v>207</v>
      </c>
      <c r="Q36" s="2" t="s">
        <v>142</v>
      </c>
    </row>
    <row r="37" spans="1:17" ht="30" x14ac:dyDescent="0.25">
      <c r="A37" s="2">
        <v>13</v>
      </c>
      <c r="B37" s="3">
        <v>46208</v>
      </c>
      <c r="C37" s="2" t="s">
        <v>11</v>
      </c>
      <c r="D37" s="2">
        <v>234</v>
      </c>
      <c r="E37" s="2" t="s">
        <v>208</v>
      </c>
      <c r="F37" s="2" t="s">
        <v>49</v>
      </c>
      <c r="G37" s="2" t="s">
        <v>188</v>
      </c>
      <c r="H37" s="2" t="s">
        <v>209</v>
      </c>
      <c r="I37" s="2" t="s">
        <v>103</v>
      </c>
      <c r="J37" s="2" t="s">
        <v>210</v>
      </c>
      <c r="K37" s="2" t="s">
        <v>174</v>
      </c>
      <c r="L37" s="2" t="s">
        <v>7</v>
      </c>
      <c r="M37" s="3">
        <v>46209</v>
      </c>
      <c r="N37" s="3">
        <v>46215</v>
      </c>
      <c r="O37" s="2"/>
      <c r="P37" s="2" t="s">
        <v>211</v>
      </c>
      <c r="Q37" s="2" t="s">
        <v>148</v>
      </c>
    </row>
    <row r="38" spans="1:17" x14ac:dyDescent="0.25">
      <c r="A38" s="2">
        <v>14</v>
      </c>
      <c r="B38" s="3">
        <v>46209</v>
      </c>
      <c r="C38" s="2" t="s">
        <v>11</v>
      </c>
      <c r="D38" s="2">
        <v>20</v>
      </c>
      <c r="E38" s="2" t="s">
        <v>212</v>
      </c>
      <c r="F38" s="2" t="s">
        <v>49</v>
      </c>
      <c r="G38" s="2" t="s">
        <v>133</v>
      </c>
      <c r="H38" s="2" t="s">
        <v>134</v>
      </c>
      <c r="I38" s="2" t="s">
        <v>123</v>
      </c>
      <c r="J38" s="2" t="s">
        <v>128</v>
      </c>
      <c r="K38" s="2" t="s">
        <v>125</v>
      </c>
      <c r="L38" s="2" t="s">
        <v>7</v>
      </c>
      <c r="M38" s="3">
        <v>46216</v>
      </c>
      <c r="N38" s="3">
        <v>46223</v>
      </c>
      <c r="O38" s="2"/>
      <c r="P38" s="2" t="s">
        <v>136</v>
      </c>
      <c r="Q38" s="2" t="s">
        <v>126</v>
      </c>
    </row>
    <row r="39" spans="1:17" x14ac:dyDescent="0.25">
      <c r="A39" s="2">
        <v>14</v>
      </c>
      <c r="B39" s="3">
        <v>46209</v>
      </c>
      <c r="C39" s="2" t="s">
        <v>11</v>
      </c>
      <c r="D39" s="2">
        <v>704</v>
      </c>
      <c r="E39" s="2" t="s">
        <v>213</v>
      </c>
      <c r="F39" s="2" t="s">
        <v>49</v>
      </c>
      <c r="G39" s="2" t="s">
        <v>163</v>
      </c>
      <c r="H39" s="2" t="s">
        <v>164</v>
      </c>
      <c r="I39" s="2" t="s">
        <v>123</v>
      </c>
      <c r="J39" s="2" t="s">
        <v>128</v>
      </c>
      <c r="K39" s="2" t="s">
        <v>125</v>
      </c>
      <c r="L39" s="2" t="s">
        <v>7</v>
      </c>
      <c r="M39" s="3">
        <v>46216</v>
      </c>
      <c r="N39" s="3">
        <v>46223</v>
      </c>
      <c r="O39" s="2"/>
      <c r="P39" s="2" t="s">
        <v>166</v>
      </c>
      <c r="Q39" s="2" t="s">
        <v>126</v>
      </c>
    </row>
    <row r="40" spans="1:17" x14ac:dyDescent="0.25">
      <c r="A40" s="2">
        <v>14</v>
      </c>
      <c r="B40" s="3">
        <v>46209</v>
      </c>
      <c r="C40" s="2" t="s">
        <v>11</v>
      </c>
      <c r="D40" s="2">
        <v>206</v>
      </c>
      <c r="E40" s="2" t="s">
        <v>214</v>
      </c>
      <c r="F40" s="2" t="s">
        <v>49</v>
      </c>
      <c r="G40" s="2" t="s">
        <v>188</v>
      </c>
      <c r="H40" s="2" t="s">
        <v>189</v>
      </c>
      <c r="I40" s="2" t="s">
        <v>123</v>
      </c>
      <c r="J40" s="2" t="s">
        <v>128</v>
      </c>
      <c r="K40" s="2" t="s">
        <v>130</v>
      </c>
      <c r="L40" s="2" t="s">
        <v>7</v>
      </c>
      <c r="M40" s="3">
        <v>46216</v>
      </c>
      <c r="N40" s="3">
        <v>46223</v>
      </c>
      <c r="O40" s="2"/>
      <c r="P40" s="2" t="s">
        <v>191</v>
      </c>
      <c r="Q40" s="2" t="s">
        <v>126</v>
      </c>
    </row>
    <row r="41" spans="1:17" ht="30" x14ac:dyDescent="0.25">
      <c r="A41" s="2">
        <v>15</v>
      </c>
      <c r="B41" s="3">
        <v>46210</v>
      </c>
      <c r="C41" s="2" t="s">
        <v>14</v>
      </c>
      <c r="D41" s="2">
        <v>104</v>
      </c>
      <c r="E41" s="2" t="s">
        <v>215</v>
      </c>
      <c r="F41" s="2" t="s">
        <v>49</v>
      </c>
      <c r="G41" s="2" t="s">
        <v>216</v>
      </c>
      <c r="H41" s="2" t="s">
        <v>217</v>
      </c>
      <c r="I41" s="2" t="s">
        <v>52</v>
      </c>
      <c r="J41" s="2" t="s">
        <v>218</v>
      </c>
      <c r="K41" s="2" t="s">
        <v>54</v>
      </c>
      <c r="L41" s="2" t="s">
        <v>7</v>
      </c>
      <c r="M41" s="3">
        <v>46211</v>
      </c>
      <c r="N41" s="3">
        <v>46217</v>
      </c>
      <c r="O41" s="2"/>
      <c r="P41" s="2" t="s">
        <v>219</v>
      </c>
      <c r="Q41" s="2" t="s">
        <v>192</v>
      </c>
    </row>
    <row r="42" spans="1:17" x14ac:dyDescent="0.25">
      <c r="A42" s="2">
        <v>15</v>
      </c>
      <c r="B42" s="3">
        <v>46210</v>
      </c>
      <c r="C42" s="2" t="s">
        <v>14</v>
      </c>
      <c r="D42" s="2">
        <v>100</v>
      </c>
      <c r="E42" s="2" t="s">
        <v>220</v>
      </c>
      <c r="F42" s="2" t="s">
        <v>49</v>
      </c>
      <c r="G42" s="2" t="s">
        <v>216</v>
      </c>
      <c r="H42" s="2" t="s">
        <v>221</v>
      </c>
      <c r="I42" s="2" t="s">
        <v>52</v>
      </c>
      <c r="J42" s="2" t="s">
        <v>222</v>
      </c>
      <c r="K42" s="2" t="s">
        <v>54</v>
      </c>
      <c r="L42" s="2" t="s">
        <v>7</v>
      </c>
      <c r="M42" s="3">
        <v>46211</v>
      </c>
      <c r="N42" s="3">
        <v>46217</v>
      </c>
      <c r="O42" s="2"/>
      <c r="P42" s="2" t="s">
        <v>223</v>
      </c>
      <c r="Q42" s="2" t="s">
        <v>142</v>
      </c>
    </row>
    <row r="43" spans="1:17" x14ac:dyDescent="0.25">
      <c r="A43" s="2">
        <v>15</v>
      </c>
      <c r="B43" s="3">
        <v>46210</v>
      </c>
      <c r="C43" s="2" t="s">
        <v>14</v>
      </c>
      <c r="D43" s="2">
        <v>101</v>
      </c>
      <c r="E43" s="2" t="s">
        <v>224</v>
      </c>
      <c r="F43" s="2" t="s">
        <v>49</v>
      </c>
      <c r="G43" s="2" t="s">
        <v>225</v>
      </c>
      <c r="H43" s="2" t="s">
        <v>226</v>
      </c>
      <c r="I43" s="2" t="s">
        <v>79</v>
      </c>
      <c r="J43" s="2" t="s">
        <v>227</v>
      </c>
      <c r="K43" s="2" t="s">
        <v>81</v>
      </c>
      <c r="L43" s="2" t="s">
        <v>7</v>
      </c>
      <c r="M43" s="3">
        <v>46211</v>
      </c>
      <c r="N43" s="3">
        <v>46217</v>
      </c>
      <c r="O43" s="2"/>
      <c r="P43" s="2" t="s">
        <v>228</v>
      </c>
      <c r="Q43" s="2" t="s">
        <v>142</v>
      </c>
    </row>
    <row r="44" spans="1:17" x14ac:dyDescent="0.25">
      <c r="A44" s="2">
        <v>16</v>
      </c>
      <c r="B44" s="3">
        <v>46211</v>
      </c>
      <c r="C44" s="2" t="s">
        <v>14</v>
      </c>
      <c r="D44" s="2">
        <v>226</v>
      </c>
      <c r="E44" s="2" t="s">
        <v>229</v>
      </c>
      <c r="F44" s="2" t="s">
        <v>49</v>
      </c>
      <c r="G44" s="2" t="s">
        <v>216</v>
      </c>
      <c r="H44" s="2" t="s">
        <v>230</v>
      </c>
      <c r="I44" s="2" t="s">
        <v>52</v>
      </c>
      <c r="J44" s="2" t="s">
        <v>231</v>
      </c>
      <c r="K44" s="2" t="s">
        <v>54</v>
      </c>
      <c r="L44" s="2" t="s">
        <v>7</v>
      </c>
      <c r="M44" s="3">
        <v>46212</v>
      </c>
      <c r="N44" s="3">
        <v>46218</v>
      </c>
      <c r="O44" s="2"/>
      <c r="P44" s="2" t="s">
        <v>232</v>
      </c>
      <c r="Q44" s="2" t="s">
        <v>162</v>
      </c>
    </row>
    <row r="45" spans="1:17" x14ac:dyDescent="0.25">
      <c r="A45" s="2">
        <v>16</v>
      </c>
      <c r="B45" s="3">
        <v>46211</v>
      </c>
      <c r="C45" s="2" t="s">
        <v>14</v>
      </c>
      <c r="D45" s="2">
        <v>112</v>
      </c>
      <c r="E45" s="2" t="s">
        <v>233</v>
      </c>
      <c r="F45" s="2" t="s">
        <v>49</v>
      </c>
      <c r="G45" s="2" t="s">
        <v>216</v>
      </c>
      <c r="H45" s="2" t="s">
        <v>234</v>
      </c>
      <c r="I45" s="2" t="s">
        <v>52</v>
      </c>
      <c r="J45" s="2" t="s">
        <v>235</v>
      </c>
      <c r="K45" s="2" t="s">
        <v>96</v>
      </c>
      <c r="L45" s="2" t="s">
        <v>7</v>
      </c>
      <c r="M45" s="3">
        <v>46212</v>
      </c>
      <c r="N45" s="3">
        <v>46218</v>
      </c>
      <c r="O45" s="2"/>
      <c r="P45" s="2" t="s">
        <v>236</v>
      </c>
      <c r="Q45" s="2" t="s">
        <v>142</v>
      </c>
    </row>
    <row r="46" spans="1:17" ht="30" x14ac:dyDescent="0.25">
      <c r="A46" s="2">
        <v>16</v>
      </c>
      <c r="B46" s="3">
        <v>46211</v>
      </c>
      <c r="C46" s="2" t="s">
        <v>14</v>
      </c>
      <c r="D46" s="2">
        <v>110</v>
      </c>
      <c r="E46" s="2" t="s">
        <v>237</v>
      </c>
      <c r="F46" s="2" t="s">
        <v>49</v>
      </c>
      <c r="G46" s="2" t="s">
        <v>216</v>
      </c>
      <c r="H46" s="2" t="s">
        <v>238</v>
      </c>
      <c r="I46" s="2" t="s">
        <v>79</v>
      </c>
      <c r="J46" s="2" t="s">
        <v>239</v>
      </c>
      <c r="K46" s="2" t="s">
        <v>160</v>
      </c>
      <c r="L46" s="2" t="s">
        <v>7</v>
      </c>
      <c r="M46" s="3">
        <v>46212</v>
      </c>
      <c r="N46" s="3">
        <v>46218</v>
      </c>
      <c r="O46" s="2"/>
      <c r="P46" s="2" t="s">
        <v>240</v>
      </c>
      <c r="Q46" s="2" t="s">
        <v>148</v>
      </c>
    </row>
    <row r="47" spans="1:17" ht="30" x14ac:dyDescent="0.25">
      <c r="A47" s="2">
        <v>17</v>
      </c>
      <c r="B47" s="3">
        <v>46212</v>
      </c>
      <c r="C47" s="2" t="s">
        <v>14</v>
      </c>
      <c r="D47" s="2">
        <v>98</v>
      </c>
      <c r="E47" s="2" t="s">
        <v>241</v>
      </c>
      <c r="F47" s="2" t="s">
        <v>76</v>
      </c>
      <c r="G47" s="2" t="s">
        <v>242</v>
      </c>
      <c r="H47" s="2" t="s">
        <v>243</v>
      </c>
      <c r="I47" s="2" t="s">
        <v>52</v>
      </c>
      <c r="J47" s="2" t="s">
        <v>244</v>
      </c>
      <c r="K47" s="2" t="s">
        <v>160</v>
      </c>
      <c r="L47" s="2" t="s">
        <v>7</v>
      </c>
      <c r="M47" s="3">
        <v>46213</v>
      </c>
      <c r="N47" s="3">
        <v>46219</v>
      </c>
      <c r="O47" s="2"/>
      <c r="P47" s="2" t="s">
        <v>245</v>
      </c>
      <c r="Q47" s="2" t="s">
        <v>142</v>
      </c>
    </row>
    <row r="48" spans="1:17" ht="30" x14ac:dyDescent="0.25">
      <c r="A48" s="2">
        <v>17</v>
      </c>
      <c r="B48" s="3">
        <v>46212</v>
      </c>
      <c r="C48" s="2" t="s">
        <v>14</v>
      </c>
      <c r="D48" s="2">
        <v>235</v>
      </c>
      <c r="E48" s="2" t="s">
        <v>246</v>
      </c>
      <c r="F48" s="2" t="s">
        <v>76</v>
      </c>
      <c r="G48" s="2" t="s">
        <v>242</v>
      </c>
      <c r="H48" s="2" t="s">
        <v>247</v>
      </c>
      <c r="I48" s="2" t="s">
        <v>79</v>
      </c>
      <c r="J48" s="2" t="s">
        <v>248</v>
      </c>
      <c r="K48" s="2" t="s">
        <v>81</v>
      </c>
      <c r="L48" s="2" t="s">
        <v>7</v>
      </c>
      <c r="M48" s="3">
        <v>46213</v>
      </c>
      <c r="N48" s="3">
        <v>46219</v>
      </c>
      <c r="O48" s="2"/>
      <c r="P48" s="2" t="s">
        <v>249</v>
      </c>
      <c r="Q48" s="2" t="s">
        <v>162</v>
      </c>
    </row>
    <row r="49" spans="1:17" ht="30" x14ac:dyDescent="0.25">
      <c r="A49" s="2">
        <v>17</v>
      </c>
      <c r="B49" s="3">
        <v>46212</v>
      </c>
      <c r="C49" s="2" t="s">
        <v>14</v>
      </c>
      <c r="D49" s="2">
        <v>230</v>
      </c>
      <c r="E49" s="2" t="s">
        <v>250</v>
      </c>
      <c r="F49" s="2" t="s">
        <v>76</v>
      </c>
      <c r="G49" s="2" t="s">
        <v>242</v>
      </c>
      <c r="H49" s="2" t="s">
        <v>251</v>
      </c>
      <c r="I49" s="2" t="s">
        <v>103</v>
      </c>
      <c r="J49" s="2" t="s">
        <v>252</v>
      </c>
      <c r="K49" s="2" t="s">
        <v>160</v>
      </c>
      <c r="L49" s="2" t="s">
        <v>7</v>
      </c>
      <c r="M49" s="3">
        <v>46213</v>
      </c>
      <c r="N49" s="3">
        <v>46219</v>
      </c>
      <c r="O49" s="2"/>
      <c r="P49" s="2" t="s">
        <v>253</v>
      </c>
      <c r="Q49" s="2" t="s">
        <v>142</v>
      </c>
    </row>
    <row r="50" spans="1:17" ht="30" x14ac:dyDescent="0.25">
      <c r="A50" s="2">
        <v>18</v>
      </c>
      <c r="B50" s="3">
        <v>46213</v>
      </c>
      <c r="C50" s="2" t="s">
        <v>14</v>
      </c>
      <c r="D50" s="2">
        <v>102</v>
      </c>
      <c r="E50" s="2" t="s">
        <v>254</v>
      </c>
      <c r="F50" s="2" t="s">
        <v>76</v>
      </c>
      <c r="G50" s="2" t="s">
        <v>255</v>
      </c>
      <c r="H50" s="2" t="s">
        <v>256</v>
      </c>
      <c r="I50" s="2" t="s">
        <v>52</v>
      </c>
      <c r="J50" s="2" t="s">
        <v>257</v>
      </c>
      <c r="K50" s="2" t="s">
        <v>160</v>
      </c>
      <c r="L50" s="2" t="s">
        <v>7</v>
      </c>
      <c r="M50" s="3">
        <v>46214</v>
      </c>
      <c r="N50" s="3">
        <v>46220</v>
      </c>
      <c r="O50" s="2"/>
      <c r="P50" s="2" t="s">
        <v>258</v>
      </c>
      <c r="Q50" s="2" t="s">
        <v>142</v>
      </c>
    </row>
    <row r="51" spans="1:17" ht="30" x14ac:dyDescent="0.25">
      <c r="A51" s="2">
        <v>18</v>
      </c>
      <c r="B51" s="3">
        <v>46213</v>
      </c>
      <c r="C51" s="2" t="s">
        <v>14</v>
      </c>
      <c r="D51" s="2">
        <v>199</v>
      </c>
      <c r="E51" s="2" t="s">
        <v>259</v>
      </c>
      <c r="F51" s="2" t="s">
        <v>76</v>
      </c>
      <c r="G51" s="2" t="s">
        <v>255</v>
      </c>
      <c r="H51" s="2" t="s">
        <v>256</v>
      </c>
      <c r="I51" s="2" t="s">
        <v>79</v>
      </c>
      <c r="J51" s="2" t="s">
        <v>260</v>
      </c>
      <c r="K51" s="2" t="s">
        <v>160</v>
      </c>
      <c r="L51" s="2" t="s">
        <v>7</v>
      </c>
      <c r="M51" s="3">
        <v>46214</v>
      </c>
      <c r="N51" s="3">
        <v>46220</v>
      </c>
      <c r="O51" s="2"/>
      <c r="P51" s="2" t="s">
        <v>261</v>
      </c>
      <c r="Q51" s="2" t="s">
        <v>142</v>
      </c>
    </row>
    <row r="52" spans="1:17" ht="30" x14ac:dyDescent="0.25">
      <c r="A52" s="2">
        <v>18</v>
      </c>
      <c r="B52" s="3">
        <v>46213</v>
      </c>
      <c r="C52" s="2" t="s">
        <v>14</v>
      </c>
      <c r="D52" s="2">
        <v>637</v>
      </c>
      <c r="E52" s="2" t="s">
        <v>262</v>
      </c>
      <c r="F52" s="2" t="s">
        <v>49</v>
      </c>
      <c r="G52" s="2" t="s">
        <v>255</v>
      </c>
      <c r="H52" s="2" t="s">
        <v>263</v>
      </c>
      <c r="I52" s="2" t="s">
        <v>103</v>
      </c>
      <c r="J52" s="2" t="s">
        <v>264</v>
      </c>
      <c r="K52" s="2" t="s">
        <v>54</v>
      </c>
      <c r="L52" s="2" t="s">
        <v>7</v>
      </c>
      <c r="M52" s="3">
        <v>46214</v>
      </c>
      <c r="N52" s="3">
        <v>46220</v>
      </c>
      <c r="O52" s="2"/>
      <c r="P52" s="2" t="s">
        <v>265</v>
      </c>
      <c r="Q52" s="2" t="s">
        <v>142</v>
      </c>
    </row>
    <row r="53" spans="1:17" x14ac:dyDescent="0.25">
      <c r="A53" s="2">
        <v>19</v>
      </c>
      <c r="B53" s="3">
        <v>46214</v>
      </c>
      <c r="C53" s="2" t="s">
        <v>14</v>
      </c>
      <c r="D53" s="2">
        <v>56</v>
      </c>
      <c r="E53" s="2" t="s">
        <v>266</v>
      </c>
      <c r="F53" s="2" t="s">
        <v>76</v>
      </c>
      <c r="G53" s="2" t="s">
        <v>267</v>
      </c>
      <c r="H53" s="2" t="s">
        <v>268</v>
      </c>
      <c r="I53" s="2" t="s">
        <v>52</v>
      </c>
      <c r="J53" s="2" t="s">
        <v>269</v>
      </c>
      <c r="K53" s="2" t="s">
        <v>160</v>
      </c>
      <c r="L53" s="2" t="s">
        <v>7</v>
      </c>
      <c r="M53" s="3">
        <v>46215</v>
      </c>
      <c r="N53" s="3">
        <v>46221</v>
      </c>
      <c r="O53" s="2"/>
      <c r="P53" s="2" t="s">
        <v>270</v>
      </c>
      <c r="Q53" s="2" t="s">
        <v>142</v>
      </c>
    </row>
    <row r="54" spans="1:17" x14ac:dyDescent="0.25">
      <c r="A54" s="2">
        <v>19</v>
      </c>
      <c r="B54" s="3">
        <v>46214</v>
      </c>
      <c r="C54" s="2" t="s">
        <v>14</v>
      </c>
      <c r="D54" s="2">
        <v>57</v>
      </c>
      <c r="E54" s="2" t="s">
        <v>271</v>
      </c>
      <c r="F54" s="2" t="s">
        <v>76</v>
      </c>
      <c r="G54" s="2" t="s">
        <v>272</v>
      </c>
      <c r="H54" s="2" t="s">
        <v>273</v>
      </c>
      <c r="I54" s="2" t="s">
        <v>79</v>
      </c>
      <c r="J54" s="2" t="s">
        <v>274</v>
      </c>
      <c r="K54" s="2" t="s">
        <v>174</v>
      </c>
      <c r="L54" s="2" t="s">
        <v>7</v>
      </c>
      <c r="M54" s="3">
        <v>46215</v>
      </c>
      <c r="N54" s="3">
        <v>46221</v>
      </c>
      <c r="O54" s="2"/>
      <c r="P54" s="2" t="s">
        <v>275</v>
      </c>
      <c r="Q54" s="2" t="s">
        <v>142</v>
      </c>
    </row>
    <row r="55" spans="1:17" ht="30" x14ac:dyDescent="0.25">
      <c r="A55" s="2">
        <v>19</v>
      </c>
      <c r="B55" s="3">
        <v>46214</v>
      </c>
      <c r="C55" s="2" t="s">
        <v>14</v>
      </c>
      <c r="D55" s="2">
        <v>986</v>
      </c>
      <c r="E55" s="2" t="s">
        <v>276</v>
      </c>
      <c r="F55" s="2" t="s">
        <v>76</v>
      </c>
      <c r="G55" s="2" t="s">
        <v>277</v>
      </c>
      <c r="H55" s="2" t="s">
        <v>278</v>
      </c>
      <c r="I55" s="2" t="s">
        <v>103</v>
      </c>
      <c r="J55" s="2" t="s">
        <v>279</v>
      </c>
      <c r="K55" s="2" t="s">
        <v>174</v>
      </c>
      <c r="L55" s="2" t="s">
        <v>7</v>
      </c>
      <c r="M55" s="3">
        <v>46215</v>
      </c>
      <c r="N55" s="3">
        <v>46221</v>
      </c>
      <c r="O55" s="2"/>
      <c r="P55" s="2" t="s">
        <v>280</v>
      </c>
      <c r="Q55" s="2" t="s">
        <v>148</v>
      </c>
    </row>
    <row r="56" spans="1:17" ht="30" x14ac:dyDescent="0.25">
      <c r="A56" s="2">
        <v>20</v>
      </c>
      <c r="B56" s="3">
        <v>46215</v>
      </c>
      <c r="C56" s="2" t="s">
        <v>14</v>
      </c>
      <c r="D56" s="2">
        <v>703</v>
      </c>
      <c r="E56" s="2" t="s">
        <v>281</v>
      </c>
      <c r="F56" s="2" t="s">
        <v>49</v>
      </c>
      <c r="G56" s="2" t="s">
        <v>282</v>
      </c>
      <c r="H56" s="2" t="s">
        <v>283</v>
      </c>
      <c r="I56" s="2" t="s">
        <v>52</v>
      </c>
      <c r="J56" s="2" t="s">
        <v>284</v>
      </c>
      <c r="K56" s="2" t="s">
        <v>81</v>
      </c>
      <c r="L56" s="2" t="s">
        <v>7</v>
      </c>
      <c r="M56" s="3">
        <v>46216</v>
      </c>
      <c r="N56" s="3">
        <v>46222</v>
      </c>
      <c r="O56" s="2"/>
      <c r="P56" s="2" t="s">
        <v>285</v>
      </c>
      <c r="Q56" s="2" t="s">
        <v>162</v>
      </c>
    </row>
    <row r="57" spans="1:17" ht="30" x14ac:dyDescent="0.25">
      <c r="A57" s="2">
        <v>20</v>
      </c>
      <c r="B57" s="3">
        <v>46215</v>
      </c>
      <c r="C57" s="2" t="s">
        <v>14</v>
      </c>
      <c r="D57" s="2">
        <v>215</v>
      </c>
      <c r="E57" s="2" t="s">
        <v>286</v>
      </c>
      <c r="F57" s="2" t="s">
        <v>76</v>
      </c>
      <c r="G57" s="2" t="s">
        <v>287</v>
      </c>
      <c r="H57" s="2" t="s">
        <v>288</v>
      </c>
      <c r="I57" s="2" t="s">
        <v>79</v>
      </c>
      <c r="J57" s="2" t="s">
        <v>289</v>
      </c>
      <c r="K57" s="2" t="s">
        <v>174</v>
      </c>
      <c r="L57" s="2" t="s">
        <v>7</v>
      </c>
      <c r="M57" s="3">
        <v>46216</v>
      </c>
      <c r="N57" s="3">
        <v>46222</v>
      </c>
      <c r="O57" s="2"/>
      <c r="P57" s="2" t="s">
        <v>290</v>
      </c>
      <c r="Q57" s="2" t="s">
        <v>142</v>
      </c>
    </row>
    <row r="58" spans="1:17" ht="30" x14ac:dyDescent="0.25">
      <c r="A58" s="2">
        <v>20</v>
      </c>
      <c r="B58" s="3">
        <v>46215</v>
      </c>
      <c r="C58" s="2" t="s">
        <v>14</v>
      </c>
      <c r="D58" s="2">
        <v>347</v>
      </c>
      <c r="E58" s="2" t="s">
        <v>291</v>
      </c>
      <c r="F58" s="2" t="s">
        <v>76</v>
      </c>
      <c r="G58" s="2" t="s">
        <v>292</v>
      </c>
      <c r="H58" s="2" t="s">
        <v>293</v>
      </c>
      <c r="I58" s="2" t="s">
        <v>52</v>
      </c>
      <c r="J58" s="2" t="s">
        <v>294</v>
      </c>
      <c r="K58" s="2" t="s">
        <v>174</v>
      </c>
      <c r="L58" s="2" t="s">
        <v>7</v>
      </c>
      <c r="M58" s="3">
        <v>46216</v>
      </c>
      <c r="N58" s="3">
        <v>46222</v>
      </c>
      <c r="O58" s="2"/>
      <c r="P58" s="2" t="s">
        <v>295</v>
      </c>
      <c r="Q58" s="2" t="s">
        <v>192</v>
      </c>
    </row>
    <row r="59" spans="1:17" ht="30" x14ac:dyDescent="0.25">
      <c r="A59" s="2">
        <v>21</v>
      </c>
      <c r="B59" s="3">
        <v>46216</v>
      </c>
      <c r="C59" s="2" t="s">
        <v>14</v>
      </c>
      <c r="D59" s="2">
        <v>104</v>
      </c>
      <c r="E59" s="2" t="s">
        <v>296</v>
      </c>
      <c r="F59" s="2" t="s">
        <v>49</v>
      </c>
      <c r="G59" s="2" t="s">
        <v>216</v>
      </c>
      <c r="H59" s="2" t="s">
        <v>217</v>
      </c>
      <c r="I59" s="2" t="s">
        <v>123</v>
      </c>
      <c r="J59" s="2" t="s">
        <v>128</v>
      </c>
      <c r="K59" s="2" t="s">
        <v>125</v>
      </c>
      <c r="L59" s="2" t="s">
        <v>7</v>
      </c>
      <c r="M59" s="3">
        <v>46223</v>
      </c>
      <c r="N59" s="3">
        <v>46230</v>
      </c>
      <c r="O59" s="2"/>
      <c r="P59" s="2" t="s">
        <v>219</v>
      </c>
      <c r="Q59" s="2" t="s">
        <v>126</v>
      </c>
    </row>
    <row r="60" spans="1:17" ht="30" x14ac:dyDescent="0.25">
      <c r="A60" s="2">
        <v>21</v>
      </c>
      <c r="B60" s="3">
        <v>46216</v>
      </c>
      <c r="C60" s="2" t="s">
        <v>14</v>
      </c>
      <c r="D60" s="2">
        <v>98</v>
      </c>
      <c r="E60" s="2" t="s">
        <v>297</v>
      </c>
      <c r="F60" s="2" t="s">
        <v>76</v>
      </c>
      <c r="G60" s="2" t="s">
        <v>242</v>
      </c>
      <c r="H60" s="2" t="s">
        <v>243</v>
      </c>
      <c r="I60" s="2" t="s">
        <v>123</v>
      </c>
      <c r="J60" s="2" t="s">
        <v>298</v>
      </c>
      <c r="K60" s="2" t="s">
        <v>299</v>
      </c>
      <c r="L60" s="2" t="s">
        <v>7</v>
      </c>
      <c r="M60" s="3">
        <v>46223</v>
      </c>
      <c r="N60" s="3">
        <v>46230</v>
      </c>
      <c r="O60" s="2"/>
      <c r="P60" s="2" t="s">
        <v>245</v>
      </c>
      <c r="Q60" s="2" t="s">
        <v>126</v>
      </c>
    </row>
    <row r="61" spans="1:17" x14ac:dyDescent="0.25">
      <c r="A61" s="2">
        <v>21</v>
      </c>
      <c r="B61" s="3">
        <v>46216</v>
      </c>
      <c r="C61" s="2" t="s">
        <v>14</v>
      </c>
      <c r="D61" s="2">
        <v>56</v>
      </c>
      <c r="E61" s="2" t="s">
        <v>300</v>
      </c>
      <c r="F61" s="2" t="s">
        <v>76</v>
      </c>
      <c r="G61" s="2" t="s">
        <v>267</v>
      </c>
      <c r="H61" s="2" t="s">
        <v>268</v>
      </c>
      <c r="I61" s="2" t="s">
        <v>123</v>
      </c>
      <c r="J61" s="2" t="s">
        <v>128</v>
      </c>
      <c r="K61" s="2" t="s">
        <v>299</v>
      </c>
      <c r="L61" s="2" t="s">
        <v>7</v>
      </c>
      <c r="M61" s="3">
        <v>46223</v>
      </c>
      <c r="N61" s="3">
        <v>46230</v>
      </c>
      <c r="O61" s="2"/>
      <c r="P61" s="2" t="s">
        <v>270</v>
      </c>
      <c r="Q61" s="2" t="s">
        <v>126</v>
      </c>
    </row>
    <row r="62" spans="1:17" ht="30" x14ac:dyDescent="0.25">
      <c r="A62" s="2">
        <v>21</v>
      </c>
      <c r="B62" s="3">
        <v>46216</v>
      </c>
      <c r="C62" s="2" t="s">
        <v>14</v>
      </c>
      <c r="D62" s="2">
        <v>215</v>
      </c>
      <c r="E62" s="2" t="s">
        <v>301</v>
      </c>
      <c r="F62" s="2" t="s">
        <v>76</v>
      </c>
      <c r="G62" s="2" t="s">
        <v>287</v>
      </c>
      <c r="H62" s="2" t="s">
        <v>288</v>
      </c>
      <c r="I62" s="2" t="s">
        <v>119</v>
      </c>
      <c r="J62" s="2" t="s">
        <v>302</v>
      </c>
      <c r="K62" s="2" t="s">
        <v>299</v>
      </c>
      <c r="L62" s="2" t="s">
        <v>7</v>
      </c>
      <c r="M62" s="3">
        <v>46217</v>
      </c>
      <c r="N62" s="3">
        <v>46223</v>
      </c>
      <c r="O62" s="2"/>
      <c r="P62" s="2" t="s">
        <v>290</v>
      </c>
      <c r="Q62" s="2" t="s">
        <v>126</v>
      </c>
    </row>
    <row r="63" spans="1:17" x14ac:dyDescent="0.25">
      <c r="A63" s="2">
        <v>22</v>
      </c>
      <c r="B63" s="3">
        <v>46217</v>
      </c>
      <c r="C63" s="2" t="s">
        <v>17</v>
      </c>
      <c r="D63" s="2">
        <v>200</v>
      </c>
      <c r="E63" s="2" t="s">
        <v>303</v>
      </c>
      <c r="F63" s="2" t="s">
        <v>76</v>
      </c>
      <c r="G63" s="2" t="s">
        <v>304</v>
      </c>
      <c r="H63" s="2" t="s">
        <v>305</v>
      </c>
      <c r="I63" s="2" t="s">
        <v>52</v>
      </c>
      <c r="J63" s="2" t="s">
        <v>306</v>
      </c>
      <c r="K63" s="2" t="s">
        <v>174</v>
      </c>
      <c r="L63" s="2" t="s">
        <v>7</v>
      </c>
      <c r="M63" s="3">
        <v>46218</v>
      </c>
      <c r="N63" s="3">
        <v>46224</v>
      </c>
      <c r="O63" s="2"/>
      <c r="P63" s="2" t="s">
        <v>307</v>
      </c>
      <c r="Q63" s="2" t="s">
        <v>192</v>
      </c>
    </row>
    <row r="64" spans="1:17" x14ac:dyDescent="0.25">
      <c r="A64" s="2">
        <v>22</v>
      </c>
      <c r="B64" s="3">
        <v>46217</v>
      </c>
      <c r="C64" s="2" t="s">
        <v>17</v>
      </c>
      <c r="D64" s="2">
        <v>733</v>
      </c>
      <c r="E64" s="2" t="s">
        <v>308</v>
      </c>
      <c r="F64" s="2" t="s">
        <v>49</v>
      </c>
      <c r="G64" s="2" t="s">
        <v>304</v>
      </c>
      <c r="H64" s="2" t="s">
        <v>305</v>
      </c>
      <c r="I64" s="2" t="s">
        <v>52</v>
      </c>
      <c r="J64" s="2" t="s">
        <v>309</v>
      </c>
      <c r="K64" s="2" t="s">
        <v>96</v>
      </c>
      <c r="L64" s="2" t="s">
        <v>7</v>
      </c>
      <c r="M64" s="3">
        <v>46218</v>
      </c>
      <c r="N64" s="3">
        <v>46224</v>
      </c>
      <c r="O64" s="2"/>
      <c r="P64" s="2" t="s">
        <v>310</v>
      </c>
      <c r="Q64" s="2" t="s">
        <v>148</v>
      </c>
    </row>
    <row r="65" spans="1:17" x14ac:dyDescent="0.25">
      <c r="A65" s="2">
        <v>22</v>
      </c>
      <c r="B65" s="3">
        <v>46217</v>
      </c>
      <c r="C65" s="2" t="s">
        <v>17</v>
      </c>
      <c r="D65" s="2">
        <v>695</v>
      </c>
      <c r="E65" s="2" t="s">
        <v>311</v>
      </c>
      <c r="F65" s="2" t="s">
        <v>76</v>
      </c>
      <c r="G65" s="2" t="s">
        <v>304</v>
      </c>
      <c r="H65" s="2" t="s">
        <v>312</v>
      </c>
      <c r="I65" s="2" t="s">
        <v>79</v>
      </c>
      <c r="J65" s="2" t="s">
        <v>313</v>
      </c>
      <c r="K65" s="2" t="s">
        <v>174</v>
      </c>
      <c r="L65" s="2" t="s">
        <v>7</v>
      </c>
      <c r="M65" s="3">
        <v>46218</v>
      </c>
      <c r="N65" s="3">
        <v>46224</v>
      </c>
      <c r="O65" s="2"/>
      <c r="P65" s="2" t="s">
        <v>314</v>
      </c>
      <c r="Q65" s="2" t="s">
        <v>148</v>
      </c>
    </row>
    <row r="66" spans="1:17" ht="30" x14ac:dyDescent="0.25">
      <c r="A66" s="2">
        <v>23</v>
      </c>
      <c r="B66" s="3">
        <v>46218</v>
      </c>
      <c r="C66" s="2" t="s">
        <v>17</v>
      </c>
      <c r="D66" s="2">
        <v>994</v>
      </c>
      <c r="E66" s="2" t="s">
        <v>315</v>
      </c>
      <c r="F66" s="2" t="s">
        <v>76</v>
      </c>
      <c r="G66" s="2" t="s">
        <v>316</v>
      </c>
      <c r="H66" s="2" t="s">
        <v>317</v>
      </c>
      <c r="I66" s="2" t="s">
        <v>52</v>
      </c>
      <c r="J66" s="2" t="s">
        <v>318</v>
      </c>
      <c r="K66" s="2" t="s">
        <v>174</v>
      </c>
      <c r="L66" s="2" t="s">
        <v>7</v>
      </c>
      <c r="M66" s="3">
        <v>46219</v>
      </c>
      <c r="N66" s="3">
        <v>46225</v>
      </c>
      <c r="O66" s="2"/>
      <c r="P66" s="2" t="s">
        <v>319</v>
      </c>
      <c r="Q66" s="2" t="s">
        <v>162</v>
      </c>
    </row>
    <row r="67" spans="1:17" ht="30" x14ac:dyDescent="0.25">
      <c r="A67" s="2">
        <v>23</v>
      </c>
      <c r="B67" s="3">
        <v>46218</v>
      </c>
      <c r="C67" s="2" t="s">
        <v>17</v>
      </c>
      <c r="D67" s="2">
        <v>207</v>
      </c>
      <c r="E67" s="2" t="s">
        <v>320</v>
      </c>
      <c r="F67" s="2" t="s">
        <v>76</v>
      </c>
      <c r="G67" s="2" t="s">
        <v>321</v>
      </c>
      <c r="H67" s="2" t="s">
        <v>322</v>
      </c>
      <c r="I67" s="2" t="s">
        <v>79</v>
      </c>
      <c r="J67" s="2" t="s">
        <v>323</v>
      </c>
      <c r="K67" s="2" t="s">
        <v>324</v>
      </c>
      <c r="L67" s="2" t="s">
        <v>7</v>
      </c>
      <c r="M67" s="3">
        <v>46219</v>
      </c>
      <c r="N67" s="3">
        <v>46225</v>
      </c>
      <c r="O67" s="2"/>
      <c r="P67" s="2" t="s">
        <v>325</v>
      </c>
      <c r="Q67" s="2" t="s">
        <v>326</v>
      </c>
    </row>
    <row r="68" spans="1:17" x14ac:dyDescent="0.25">
      <c r="A68" s="2">
        <v>23</v>
      </c>
      <c r="B68" s="3">
        <v>46218</v>
      </c>
      <c r="C68" s="2" t="s">
        <v>17</v>
      </c>
      <c r="D68" s="2">
        <v>133</v>
      </c>
      <c r="E68" s="2" t="s">
        <v>327</v>
      </c>
      <c r="F68" s="2" t="s">
        <v>76</v>
      </c>
      <c r="G68" s="2" t="s">
        <v>304</v>
      </c>
      <c r="H68" s="2" t="s">
        <v>328</v>
      </c>
      <c r="I68" s="2" t="s">
        <v>103</v>
      </c>
      <c r="J68" s="2" t="s">
        <v>329</v>
      </c>
      <c r="K68" s="2" t="s">
        <v>174</v>
      </c>
      <c r="L68" s="2" t="s">
        <v>7</v>
      </c>
      <c r="M68" s="3">
        <v>46219</v>
      </c>
      <c r="N68" s="3">
        <v>46225</v>
      </c>
      <c r="O68" s="2"/>
      <c r="P68" s="2" t="s">
        <v>330</v>
      </c>
      <c r="Q68" s="2" t="s">
        <v>142</v>
      </c>
    </row>
    <row r="69" spans="1:17" ht="30" x14ac:dyDescent="0.25">
      <c r="A69" s="2">
        <v>24</v>
      </c>
      <c r="B69" s="3">
        <v>46219</v>
      </c>
      <c r="C69" s="2" t="s">
        <v>17</v>
      </c>
      <c r="D69" s="2">
        <v>547</v>
      </c>
      <c r="E69" s="2" t="s">
        <v>331</v>
      </c>
      <c r="F69" s="2" t="s">
        <v>76</v>
      </c>
      <c r="G69" s="2" t="s">
        <v>332</v>
      </c>
      <c r="H69" s="2" t="s">
        <v>333</v>
      </c>
      <c r="I69" s="2" t="s">
        <v>52</v>
      </c>
      <c r="J69" s="2" t="s">
        <v>334</v>
      </c>
      <c r="K69" s="2" t="s">
        <v>160</v>
      </c>
      <c r="L69" s="2" t="s">
        <v>7</v>
      </c>
      <c r="M69" s="3">
        <v>46220</v>
      </c>
      <c r="N69" s="3">
        <v>46226</v>
      </c>
      <c r="O69" s="2"/>
      <c r="P69" s="2" t="s">
        <v>335</v>
      </c>
      <c r="Q69" s="2" t="s">
        <v>336</v>
      </c>
    </row>
    <row r="70" spans="1:17" ht="30" x14ac:dyDescent="0.25">
      <c r="A70" s="2">
        <v>24</v>
      </c>
      <c r="B70" s="3">
        <v>46219</v>
      </c>
      <c r="C70" s="2" t="s">
        <v>17</v>
      </c>
      <c r="D70" s="2">
        <v>1971</v>
      </c>
      <c r="E70" s="2" t="s">
        <v>337</v>
      </c>
      <c r="F70" s="2" t="s">
        <v>49</v>
      </c>
      <c r="G70" s="2" t="s">
        <v>304</v>
      </c>
      <c r="H70" s="2" t="s">
        <v>338</v>
      </c>
      <c r="I70" s="2" t="s">
        <v>52</v>
      </c>
      <c r="J70" s="2" t="s">
        <v>339</v>
      </c>
      <c r="K70" s="2" t="s">
        <v>81</v>
      </c>
      <c r="L70" s="2" t="s">
        <v>7</v>
      </c>
      <c r="M70" s="3">
        <v>46220</v>
      </c>
      <c r="N70" s="3">
        <v>46226</v>
      </c>
      <c r="O70" s="2"/>
      <c r="P70" s="2" t="s">
        <v>340</v>
      </c>
      <c r="Q70" s="2" t="s">
        <v>148</v>
      </c>
    </row>
    <row r="71" spans="1:17" ht="30" x14ac:dyDescent="0.25">
      <c r="A71" s="2">
        <v>24</v>
      </c>
      <c r="B71" s="3">
        <v>46219</v>
      </c>
      <c r="C71" s="2" t="s">
        <v>17</v>
      </c>
      <c r="D71" s="2">
        <v>684</v>
      </c>
      <c r="E71" s="2" t="s">
        <v>341</v>
      </c>
      <c r="F71" s="2" t="s">
        <v>76</v>
      </c>
      <c r="G71" s="2" t="s">
        <v>342</v>
      </c>
      <c r="H71" s="2" t="s">
        <v>343</v>
      </c>
      <c r="I71" s="2" t="s">
        <v>119</v>
      </c>
      <c r="J71" s="2" t="s">
        <v>344</v>
      </c>
      <c r="K71" s="2" t="s">
        <v>174</v>
      </c>
      <c r="L71" s="2" t="s">
        <v>7</v>
      </c>
      <c r="M71" s="3">
        <v>46220</v>
      </c>
      <c r="N71" s="3">
        <v>46226</v>
      </c>
      <c r="O71" s="2"/>
      <c r="P71" s="2" t="s">
        <v>345</v>
      </c>
      <c r="Q71" s="2" t="s">
        <v>148</v>
      </c>
    </row>
    <row r="72" spans="1:17" x14ac:dyDescent="0.25">
      <c r="A72" s="2">
        <v>25</v>
      </c>
      <c r="B72" s="3">
        <v>46220</v>
      </c>
      <c r="C72" s="2" t="s">
        <v>17</v>
      </c>
      <c r="D72" s="2">
        <v>46</v>
      </c>
      <c r="E72" s="2" t="s">
        <v>346</v>
      </c>
      <c r="F72" s="2" t="s">
        <v>76</v>
      </c>
      <c r="G72" s="2" t="s">
        <v>347</v>
      </c>
      <c r="H72" s="2" t="s">
        <v>348</v>
      </c>
      <c r="I72" s="2" t="s">
        <v>52</v>
      </c>
      <c r="J72" s="2" t="s">
        <v>349</v>
      </c>
      <c r="K72" s="2" t="s">
        <v>174</v>
      </c>
      <c r="L72" s="2" t="s">
        <v>7</v>
      </c>
      <c r="M72" s="3">
        <v>46221</v>
      </c>
      <c r="N72" s="3">
        <v>46227</v>
      </c>
      <c r="O72" s="2"/>
      <c r="P72" s="2" t="s">
        <v>350</v>
      </c>
      <c r="Q72" s="2" t="s">
        <v>142</v>
      </c>
    </row>
    <row r="73" spans="1:17" x14ac:dyDescent="0.25">
      <c r="A73" s="2">
        <v>25</v>
      </c>
      <c r="B73" s="3">
        <v>46220</v>
      </c>
      <c r="C73" s="2" t="s">
        <v>17</v>
      </c>
      <c r="D73" s="2">
        <v>78</v>
      </c>
      <c r="E73" s="2" t="s">
        <v>351</v>
      </c>
      <c r="F73" s="2" t="s">
        <v>76</v>
      </c>
      <c r="G73" s="2" t="s">
        <v>347</v>
      </c>
      <c r="H73" s="2" t="s">
        <v>352</v>
      </c>
      <c r="I73" s="2" t="s">
        <v>52</v>
      </c>
      <c r="J73" s="2" t="s">
        <v>353</v>
      </c>
      <c r="K73" s="2" t="s">
        <v>160</v>
      </c>
      <c r="L73" s="2" t="s">
        <v>7</v>
      </c>
      <c r="M73" s="3">
        <v>46221</v>
      </c>
      <c r="N73" s="3">
        <v>46227</v>
      </c>
      <c r="O73" s="2"/>
      <c r="P73" s="2" t="s">
        <v>354</v>
      </c>
      <c r="Q73" s="2" t="s">
        <v>142</v>
      </c>
    </row>
    <row r="74" spans="1:17" x14ac:dyDescent="0.25">
      <c r="A74" s="2">
        <v>25</v>
      </c>
      <c r="B74" s="3">
        <v>46220</v>
      </c>
      <c r="C74" s="2" t="s">
        <v>17</v>
      </c>
      <c r="D74" s="2">
        <v>39</v>
      </c>
      <c r="E74" s="2" t="s">
        <v>355</v>
      </c>
      <c r="F74" s="2" t="s">
        <v>76</v>
      </c>
      <c r="G74" s="2" t="s">
        <v>347</v>
      </c>
      <c r="H74" s="2" t="s">
        <v>356</v>
      </c>
      <c r="I74" s="2" t="s">
        <v>79</v>
      </c>
      <c r="J74" s="2" t="s">
        <v>357</v>
      </c>
      <c r="K74" s="2" t="s">
        <v>324</v>
      </c>
      <c r="L74" s="2" t="s">
        <v>7</v>
      </c>
      <c r="M74" s="3">
        <v>46221</v>
      </c>
      <c r="N74" s="3">
        <v>46227</v>
      </c>
      <c r="O74" s="2"/>
      <c r="P74" s="2" t="s">
        <v>358</v>
      </c>
      <c r="Q74" s="2" t="s">
        <v>142</v>
      </c>
    </row>
    <row r="75" spans="1:17" ht="30" x14ac:dyDescent="0.25">
      <c r="A75" s="2">
        <v>26</v>
      </c>
      <c r="B75" s="3">
        <v>46221</v>
      </c>
      <c r="C75" s="2" t="s">
        <v>17</v>
      </c>
      <c r="D75" s="2">
        <v>17</v>
      </c>
      <c r="E75" s="2" t="s">
        <v>359</v>
      </c>
      <c r="F75" s="2" t="s">
        <v>76</v>
      </c>
      <c r="G75" s="2" t="s">
        <v>347</v>
      </c>
      <c r="H75" s="2" t="s">
        <v>360</v>
      </c>
      <c r="I75" s="2" t="s">
        <v>52</v>
      </c>
      <c r="J75" s="2" t="s">
        <v>361</v>
      </c>
      <c r="K75" s="2" t="s">
        <v>174</v>
      </c>
      <c r="L75" s="2" t="s">
        <v>7</v>
      </c>
      <c r="M75" s="3">
        <v>46222</v>
      </c>
      <c r="N75" s="3">
        <v>46228</v>
      </c>
      <c r="O75" s="2"/>
      <c r="P75" s="2" t="s">
        <v>362</v>
      </c>
      <c r="Q75" s="2" t="s">
        <v>142</v>
      </c>
    </row>
    <row r="76" spans="1:17" ht="30" x14ac:dyDescent="0.25">
      <c r="A76" s="2">
        <v>26</v>
      </c>
      <c r="B76" s="3">
        <v>46221</v>
      </c>
      <c r="C76" s="2" t="s">
        <v>17</v>
      </c>
      <c r="D76" s="2">
        <v>22</v>
      </c>
      <c r="E76" s="2" t="s">
        <v>363</v>
      </c>
      <c r="F76" s="2" t="s">
        <v>76</v>
      </c>
      <c r="G76" s="2" t="s">
        <v>347</v>
      </c>
      <c r="H76" s="2" t="s">
        <v>364</v>
      </c>
      <c r="I76" s="2" t="s">
        <v>79</v>
      </c>
      <c r="J76" s="2" t="s">
        <v>365</v>
      </c>
      <c r="K76" s="2" t="s">
        <v>324</v>
      </c>
      <c r="L76" s="2" t="s">
        <v>7</v>
      </c>
      <c r="M76" s="3">
        <v>46222</v>
      </c>
      <c r="N76" s="3">
        <v>46228</v>
      </c>
      <c r="O76" s="2"/>
      <c r="P76" s="2" t="s">
        <v>366</v>
      </c>
      <c r="Q76" s="2" t="s">
        <v>142</v>
      </c>
    </row>
    <row r="77" spans="1:17" x14ac:dyDescent="0.25">
      <c r="A77" s="2">
        <v>26</v>
      </c>
      <c r="B77" s="3">
        <v>46221</v>
      </c>
      <c r="C77" s="2" t="s">
        <v>17</v>
      </c>
      <c r="D77" s="2">
        <v>79</v>
      </c>
      <c r="E77" s="2" t="s">
        <v>367</v>
      </c>
      <c r="F77" s="2" t="s">
        <v>76</v>
      </c>
      <c r="G77" s="2" t="s">
        <v>368</v>
      </c>
      <c r="H77" s="2" t="s">
        <v>369</v>
      </c>
      <c r="I77" s="2" t="s">
        <v>103</v>
      </c>
      <c r="J77" s="2" t="s">
        <v>370</v>
      </c>
      <c r="K77" s="2" t="s">
        <v>371</v>
      </c>
      <c r="L77" s="2" t="s">
        <v>7</v>
      </c>
      <c r="M77" s="3">
        <v>46222</v>
      </c>
      <c r="N77" s="3">
        <v>46228</v>
      </c>
      <c r="O77" s="2"/>
      <c r="P77" s="2" t="s">
        <v>372</v>
      </c>
      <c r="Q77" s="2" t="s">
        <v>142</v>
      </c>
    </row>
    <row r="78" spans="1:17" x14ac:dyDescent="0.25">
      <c r="A78" s="2">
        <v>27</v>
      </c>
      <c r="B78" s="3">
        <v>46222</v>
      </c>
      <c r="C78" s="2" t="s">
        <v>17</v>
      </c>
      <c r="D78" s="2">
        <v>70</v>
      </c>
      <c r="E78" s="2" t="s">
        <v>373</v>
      </c>
      <c r="F78" s="2" t="s">
        <v>49</v>
      </c>
      <c r="G78" s="2" t="s">
        <v>374</v>
      </c>
      <c r="H78" s="2" t="s">
        <v>375</v>
      </c>
      <c r="I78" s="2" t="s">
        <v>52</v>
      </c>
      <c r="J78" s="2" t="s">
        <v>376</v>
      </c>
      <c r="K78" s="2" t="s">
        <v>96</v>
      </c>
      <c r="L78" s="2" t="s">
        <v>7</v>
      </c>
      <c r="M78" s="3">
        <v>46223</v>
      </c>
      <c r="N78" s="3">
        <v>46229</v>
      </c>
      <c r="O78" s="2"/>
      <c r="P78" s="2" t="s">
        <v>377</v>
      </c>
      <c r="Q78" s="2" t="s">
        <v>142</v>
      </c>
    </row>
    <row r="79" spans="1:17" ht="30" x14ac:dyDescent="0.25">
      <c r="A79" s="2">
        <v>27</v>
      </c>
      <c r="B79" s="3">
        <v>46222</v>
      </c>
      <c r="C79" s="2" t="s">
        <v>17</v>
      </c>
      <c r="D79" s="2">
        <v>746</v>
      </c>
      <c r="E79" s="2" t="s">
        <v>378</v>
      </c>
      <c r="F79" s="2" t="s">
        <v>49</v>
      </c>
      <c r="G79" s="2" t="s">
        <v>374</v>
      </c>
      <c r="H79" s="2" t="s">
        <v>379</v>
      </c>
      <c r="I79" s="2" t="s">
        <v>52</v>
      </c>
      <c r="J79" s="2" t="s">
        <v>380</v>
      </c>
      <c r="K79" s="2" t="s">
        <v>81</v>
      </c>
      <c r="L79" s="2" t="s">
        <v>7</v>
      </c>
      <c r="M79" s="3">
        <v>46223</v>
      </c>
      <c r="N79" s="3">
        <v>46229</v>
      </c>
      <c r="O79" s="2"/>
      <c r="P79" s="2" t="s">
        <v>381</v>
      </c>
      <c r="Q79" s="2" t="s">
        <v>162</v>
      </c>
    </row>
    <row r="80" spans="1:17" x14ac:dyDescent="0.25">
      <c r="A80" s="2">
        <v>27</v>
      </c>
      <c r="B80" s="3">
        <v>46222</v>
      </c>
      <c r="C80" s="2" t="s">
        <v>17</v>
      </c>
      <c r="D80" s="2">
        <v>198</v>
      </c>
      <c r="E80" s="2" t="s">
        <v>382</v>
      </c>
      <c r="F80" s="2" t="s">
        <v>76</v>
      </c>
      <c r="G80" s="2" t="s">
        <v>374</v>
      </c>
      <c r="H80" s="2" t="s">
        <v>383</v>
      </c>
      <c r="I80" s="2" t="s">
        <v>79</v>
      </c>
      <c r="J80" s="2" t="s">
        <v>384</v>
      </c>
      <c r="K80" s="2" t="s">
        <v>174</v>
      </c>
      <c r="L80" s="2" t="s">
        <v>7</v>
      </c>
      <c r="M80" s="3">
        <v>46223</v>
      </c>
      <c r="N80" s="3">
        <v>46229</v>
      </c>
      <c r="O80" s="2"/>
      <c r="P80" s="2" t="s">
        <v>385</v>
      </c>
      <c r="Q80" s="2" t="s">
        <v>192</v>
      </c>
    </row>
    <row r="81" spans="1:17" x14ac:dyDescent="0.25">
      <c r="A81" s="2">
        <v>28</v>
      </c>
      <c r="B81" s="3">
        <v>46223</v>
      </c>
      <c r="C81" s="2" t="s">
        <v>17</v>
      </c>
      <c r="D81" s="2">
        <v>322</v>
      </c>
      <c r="E81" s="2" t="s">
        <v>386</v>
      </c>
      <c r="F81" s="2" t="s">
        <v>76</v>
      </c>
      <c r="G81" s="2" t="s">
        <v>374</v>
      </c>
      <c r="H81" s="2" t="s">
        <v>387</v>
      </c>
      <c r="I81" s="2" t="s">
        <v>52</v>
      </c>
      <c r="J81" s="2" t="s">
        <v>388</v>
      </c>
      <c r="K81" s="2" t="s">
        <v>371</v>
      </c>
      <c r="L81" s="2" t="s">
        <v>7</v>
      </c>
      <c r="M81" s="3">
        <v>46224</v>
      </c>
      <c r="N81" s="3">
        <v>46230</v>
      </c>
      <c r="O81" s="2"/>
      <c r="P81" s="2" t="s">
        <v>389</v>
      </c>
      <c r="Q81" s="2" t="s">
        <v>142</v>
      </c>
    </row>
    <row r="82" spans="1:17" ht="30" x14ac:dyDescent="0.25">
      <c r="A82" s="2">
        <v>28</v>
      </c>
      <c r="B82" s="3">
        <v>46223</v>
      </c>
      <c r="C82" s="2" t="s">
        <v>17</v>
      </c>
      <c r="D82" s="2">
        <v>300</v>
      </c>
      <c r="E82" s="2" t="s">
        <v>390</v>
      </c>
      <c r="F82" s="2" t="s">
        <v>76</v>
      </c>
      <c r="G82" s="2" t="s">
        <v>391</v>
      </c>
      <c r="H82" s="2" t="s">
        <v>392</v>
      </c>
      <c r="I82" s="2" t="s">
        <v>119</v>
      </c>
      <c r="J82" s="2" t="s">
        <v>393</v>
      </c>
      <c r="K82" s="2" t="s">
        <v>324</v>
      </c>
      <c r="L82" s="2" t="s">
        <v>7</v>
      </c>
      <c r="M82" s="3">
        <v>46224</v>
      </c>
      <c r="N82" s="3">
        <v>46230</v>
      </c>
      <c r="O82" s="2"/>
      <c r="P82" s="2" t="s">
        <v>394</v>
      </c>
      <c r="Q82" s="2" t="s">
        <v>162</v>
      </c>
    </row>
    <row r="83" spans="1:17" x14ac:dyDescent="0.25">
      <c r="A83" s="2">
        <v>28</v>
      </c>
      <c r="B83" s="3">
        <v>46223</v>
      </c>
      <c r="C83" s="2" t="s">
        <v>17</v>
      </c>
      <c r="D83" s="2">
        <v>139</v>
      </c>
      <c r="E83" s="2" t="s">
        <v>395</v>
      </c>
      <c r="F83" s="2" t="s">
        <v>76</v>
      </c>
      <c r="G83" s="2" t="s">
        <v>374</v>
      </c>
      <c r="H83" s="2" t="s">
        <v>396</v>
      </c>
      <c r="I83" s="2" t="s">
        <v>79</v>
      </c>
      <c r="J83" s="2" t="s">
        <v>397</v>
      </c>
      <c r="K83" s="2" t="s">
        <v>324</v>
      </c>
      <c r="L83" s="2" t="s">
        <v>7</v>
      </c>
      <c r="M83" s="3">
        <v>46224</v>
      </c>
      <c r="N83" s="3">
        <v>46230</v>
      </c>
      <c r="O83" s="2"/>
      <c r="P83" s="2" t="s">
        <v>398</v>
      </c>
      <c r="Q83" s="2" t="s">
        <v>142</v>
      </c>
    </row>
    <row r="84" spans="1:17" ht="30" x14ac:dyDescent="0.25">
      <c r="A84" s="2">
        <v>29</v>
      </c>
      <c r="B84" s="3">
        <v>46224</v>
      </c>
      <c r="C84" s="2" t="s">
        <v>20</v>
      </c>
      <c r="D84" s="2">
        <v>121</v>
      </c>
      <c r="E84" s="2" t="s">
        <v>399</v>
      </c>
      <c r="F84" s="2" t="s">
        <v>49</v>
      </c>
      <c r="G84" s="2" t="s">
        <v>400</v>
      </c>
      <c r="H84" s="2" t="s">
        <v>401</v>
      </c>
      <c r="I84" s="2" t="s">
        <v>52</v>
      </c>
      <c r="J84" s="2" t="s">
        <v>402</v>
      </c>
      <c r="K84" s="2" t="s">
        <v>96</v>
      </c>
      <c r="L84" s="2" t="s">
        <v>7</v>
      </c>
      <c r="M84" s="3">
        <v>46225</v>
      </c>
      <c r="N84" s="3">
        <v>46231</v>
      </c>
      <c r="O84" s="2"/>
      <c r="P84" s="2" t="s">
        <v>403</v>
      </c>
      <c r="Q84" s="2" t="s">
        <v>142</v>
      </c>
    </row>
    <row r="85" spans="1:17" ht="30" x14ac:dyDescent="0.25">
      <c r="A85" s="2">
        <v>29</v>
      </c>
      <c r="B85" s="3">
        <v>46224</v>
      </c>
      <c r="C85" s="2" t="s">
        <v>20</v>
      </c>
      <c r="D85" s="2">
        <v>55</v>
      </c>
      <c r="E85" s="2" t="s">
        <v>404</v>
      </c>
      <c r="F85" s="2" t="s">
        <v>76</v>
      </c>
      <c r="G85" s="2" t="s">
        <v>405</v>
      </c>
      <c r="H85" s="2" t="s">
        <v>406</v>
      </c>
      <c r="I85" s="2" t="s">
        <v>79</v>
      </c>
      <c r="J85" s="2" t="s">
        <v>407</v>
      </c>
      <c r="K85" s="2" t="s">
        <v>174</v>
      </c>
      <c r="L85" s="2" t="s">
        <v>7</v>
      </c>
      <c r="M85" s="3">
        <v>46225</v>
      </c>
      <c r="N85" s="3">
        <v>46231</v>
      </c>
      <c r="O85" s="2"/>
      <c r="P85" s="2" t="s">
        <v>408</v>
      </c>
      <c r="Q85" s="2" t="s">
        <v>142</v>
      </c>
    </row>
    <row r="86" spans="1:17" ht="30" x14ac:dyDescent="0.25">
      <c r="A86" s="2">
        <v>29</v>
      </c>
      <c r="B86" s="3">
        <v>46224</v>
      </c>
      <c r="C86" s="2" t="s">
        <v>20</v>
      </c>
      <c r="D86" s="2">
        <v>45</v>
      </c>
      <c r="E86" s="2" t="s">
        <v>409</v>
      </c>
      <c r="F86" s="2" t="s">
        <v>76</v>
      </c>
      <c r="G86" s="2" t="s">
        <v>405</v>
      </c>
      <c r="H86" s="2" t="s">
        <v>410</v>
      </c>
      <c r="I86" s="2" t="s">
        <v>119</v>
      </c>
      <c r="J86" s="2" t="s">
        <v>411</v>
      </c>
      <c r="K86" s="2" t="s">
        <v>174</v>
      </c>
      <c r="L86" s="2" t="s">
        <v>7</v>
      </c>
      <c r="M86" s="3">
        <v>46225</v>
      </c>
      <c r="N86" s="3">
        <v>46231</v>
      </c>
      <c r="O86" s="2"/>
      <c r="P86" s="2" t="s">
        <v>412</v>
      </c>
      <c r="Q86" s="2" t="s">
        <v>142</v>
      </c>
    </row>
    <row r="87" spans="1:17" ht="30" x14ac:dyDescent="0.25">
      <c r="A87" s="2">
        <v>30</v>
      </c>
      <c r="B87" s="3">
        <v>46225</v>
      </c>
      <c r="C87" s="2" t="s">
        <v>20</v>
      </c>
      <c r="D87" s="2">
        <v>3</v>
      </c>
      <c r="E87" s="2" t="s">
        <v>413</v>
      </c>
      <c r="F87" s="2" t="s">
        <v>76</v>
      </c>
      <c r="G87" s="2" t="s">
        <v>414</v>
      </c>
      <c r="H87" s="2" t="s">
        <v>415</v>
      </c>
      <c r="I87" s="2" t="s">
        <v>416</v>
      </c>
      <c r="J87" s="2" t="s">
        <v>417</v>
      </c>
      <c r="K87" s="2" t="s">
        <v>81</v>
      </c>
      <c r="L87" s="2" t="s">
        <v>7</v>
      </c>
      <c r="M87" s="3">
        <v>46226</v>
      </c>
      <c r="N87" s="3">
        <v>46232</v>
      </c>
      <c r="O87" s="2"/>
      <c r="P87" s="2" t="s">
        <v>418</v>
      </c>
      <c r="Q87" s="2" t="s">
        <v>142</v>
      </c>
    </row>
    <row r="88" spans="1:17" ht="30" x14ac:dyDescent="0.25">
      <c r="A88" s="2">
        <v>30</v>
      </c>
      <c r="B88" s="3">
        <v>46225</v>
      </c>
      <c r="C88" s="2" t="s">
        <v>20</v>
      </c>
      <c r="D88" s="2">
        <v>560</v>
      </c>
      <c r="E88" s="2" t="s">
        <v>419</v>
      </c>
      <c r="F88" s="2" t="s">
        <v>76</v>
      </c>
      <c r="G88" s="2" t="s">
        <v>117</v>
      </c>
      <c r="H88" s="2" t="s">
        <v>118</v>
      </c>
      <c r="I88" s="2" t="s">
        <v>416</v>
      </c>
      <c r="J88" s="2" t="s">
        <v>420</v>
      </c>
      <c r="K88" s="2" t="s">
        <v>160</v>
      </c>
      <c r="L88" s="2" t="s">
        <v>7</v>
      </c>
      <c r="M88" s="3">
        <v>46226</v>
      </c>
      <c r="N88" s="3">
        <v>46232</v>
      </c>
      <c r="O88" s="2"/>
      <c r="P88" s="2" t="s">
        <v>121</v>
      </c>
      <c r="Q88" s="2" t="s">
        <v>142</v>
      </c>
    </row>
    <row r="89" spans="1:17" ht="30" x14ac:dyDescent="0.25">
      <c r="A89" s="2">
        <v>30</v>
      </c>
      <c r="B89" s="3">
        <v>46225</v>
      </c>
      <c r="C89" s="2" t="s">
        <v>20</v>
      </c>
      <c r="D89" s="2">
        <v>200</v>
      </c>
      <c r="E89" s="2" t="s">
        <v>421</v>
      </c>
      <c r="F89" s="2" t="s">
        <v>76</v>
      </c>
      <c r="G89" s="2" t="s">
        <v>304</v>
      </c>
      <c r="H89" s="2" t="s">
        <v>305</v>
      </c>
      <c r="I89" s="2" t="s">
        <v>416</v>
      </c>
      <c r="J89" s="2" t="s">
        <v>422</v>
      </c>
      <c r="K89" s="2" t="s">
        <v>174</v>
      </c>
      <c r="L89" s="2" t="s">
        <v>7</v>
      </c>
      <c r="M89" s="3">
        <v>46226</v>
      </c>
      <c r="N89" s="3">
        <v>46232</v>
      </c>
      <c r="O89" s="2"/>
      <c r="P89" s="2" t="s">
        <v>307</v>
      </c>
      <c r="Q89" s="2" t="s">
        <v>142</v>
      </c>
    </row>
  </sheetData>
  <conditionalFormatting sqref="L2:L89">
    <cfRule type="expression" dxfId="8" priority="1">
      <formula>L2="Решил сам"</formula>
    </cfRule>
    <cfRule type="expression" dxfId="7" priority="2">
      <formula>L2="Решил с подсказкой"</formula>
    </cfRule>
    <cfRule type="expression" dxfId="6" priority="3">
      <formula>L2="Отложить"</formula>
    </cfRule>
  </conditionalFormatting>
  <hyperlinks>
    <hyperlink ref="P15" r:id="rId1" xr:uid="{9D2CE0AB-959E-4136-8CD9-F425AE6A9517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Списки!$A$2:$A$8</xm:f>
          </x14:formula1>
          <xm:sqref>L2:L200</xm:sqref>
        </x14:dataValidation>
        <x14:dataValidation type="list" xr:uid="{00000000-0002-0000-0100-000001000000}">
          <x14:formula1>
            <xm:f>Списки!$B$2:$B$4</xm:f>
          </x14:formula1>
          <xm:sqref>F2:F200</xm:sqref>
        </x14:dataValidation>
        <x14:dataValidation type="list" xr:uid="{00000000-0002-0000-0100-000002000000}">
          <x14:formula1>
            <xm:f>Списки!$C$2:$C$7</xm:f>
          </x14:formula1>
          <xm:sqref>I2:I200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defaultRowHeight="15" x14ac:dyDescent="0.25"/>
  <cols>
    <col min="1" max="1" width="24" customWidth="1"/>
    <col min="2" max="2" width="52" customWidth="1"/>
    <col min="3" max="3" width="16" customWidth="1"/>
    <col min="4" max="4" width="42" customWidth="1"/>
    <col min="5" max="5" width="48" customWidth="1"/>
  </cols>
  <sheetData>
    <row r="1" spans="1:5" x14ac:dyDescent="0.25">
      <c r="A1" s="1" t="s">
        <v>38</v>
      </c>
      <c r="B1" s="1" t="s">
        <v>423</v>
      </c>
      <c r="C1" s="1" t="s">
        <v>424</v>
      </c>
      <c r="D1" s="1" t="s">
        <v>425</v>
      </c>
      <c r="E1" s="1" t="s">
        <v>426</v>
      </c>
    </row>
    <row r="2" spans="1:5" ht="30" x14ac:dyDescent="0.25">
      <c r="A2" s="2" t="s">
        <v>50</v>
      </c>
      <c r="B2" s="2" t="s">
        <v>427</v>
      </c>
      <c r="C2" s="2" t="s">
        <v>428</v>
      </c>
      <c r="D2" s="2" t="s">
        <v>429</v>
      </c>
      <c r="E2" s="2" t="s">
        <v>430</v>
      </c>
    </row>
    <row r="3" spans="1:5" x14ac:dyDescent="0.25">
      <c r="A3" s="2" t="s">
        <v>431</v>
      </c>
      <c r="B3" s="2" t="s">
        <v>432</v>
      </c>
      <c r="C3" s="2" t="s">
        <v>433</v>
      </c>
      <c r="D3" s="2" t="s">
        <v>434</v>
      </c>
      <c r="E3" s="2" t="s">
        <v>435</v>
      </c>
    </row>
    <row r="4" spans="1:5" x14ac:dyDescent="0.25">
      <c r="A4" s="2" t="s">
        <v>107</v>
      </c>
      <c r="B4" s="2" t="s">
        <v>436</v>
      </c>
      <c r="C4" s="2" t="s">
        <v>437</v>
      </c>
      <c r="D4" s="2" t="s">
        <v>438</v>
      </c>
      <c r="E4" s="2" t="s">
        <v>439</v>
      </c>
    </row>
    <row r="5" spans="1:5" x14ac:dyDescent="0.25">
      <c r="A5" s="2" t="s">
        <v>414</v>
      </c>
      <c r="B5" s="2" t="s">
        <v>440</v>
      </c>
      <c r="C5" s="2" t="s">
        <v>441</v>
      </c>
      <c r="D5" s="2" t="s">
        <v>442</v>
      </c>
      <c r="E5" s="2" t="s">
        <v>443</v>
      </c>
    </row>
    <row r="6" spans="1:5" x14ac:dyDescent="0.25">
      <c r="A6" s="2" t="s">
        <v>133</v>
      </c>
      <c r="B6" s="2" t="s">
        <v>444</v>
      </c>
      <c r="C6" s="2" t="s">
        <v>441</v>
      </c>
      <c r="D6" s="2" t="s">
        <v>445</v>
      </c>
      <c r="E6" s="2" t="s">
        <v>446</v>
      </c>
    </row>
    <row r="7" spans="1:5" x14ac:dyDescent="0.25">
      <c r="A7" s="2" t="s">
        <v>163</v>
      </c>
      <c r="B7" s="2" t="s">
        <v>447</v>
      </c>
      <c r="C7" s="2" t="s">
        <v>433</v>
      </c>
      <c r="D7" s="2" t="s">
        <v>448</v>
      </c>
      <c r="E7" s="2" t="s">
        <v>449</v>
      </c>
    </row>
    <row r="8" spans="1:5" x14ac:dyDescent="0.25">
      <c r="A8" s="2" t="s">
        <v>188</v>
      </c>
      <c r="B8" s="2" t="s">
        <v>450</v>
      </c>
      <c r="C8" s="2" t="s">
        <v>441</v>
      </c>
      <c r="D8" s="2" t="s">
        <v>451</v>
      </c>
      <c r="E8" s="2" t="s">
        <v>452</v>
      </c>
    </row>
    <row r="9" spans="1:5" ht="30" x14ac:dyDescent="0.25">
      <c r="A9" s="2" t="s">
        <v>453</v>
      </c>
      <c r="B9" s="2" t="s">
        <v>454</v>
      </c>
      <c r="C9" s="2" t="s">
        <v>455</v>
      </c>
      <c r="D9" s="2" t="s">
        <v>456</v>
      </c>
      <c r="E9" s="2" t="s">
        <v>457</v>
      </c>
    </row>
    <row r="10" spans="1:5" x14ac:dyDescent="0.25">
      <c r="A10" s="2" t="s">
        <v>272</v>
      </c>
      <c r="B10" s="2" t="s">
        <v>458</v>
      </c>
      <c r="C10" s="2" t="s">
        <v>459</v>
      </c>
      <c r="D10" s="2" t="s">
        <v>266</v>
      </c>
      <c r="E10" s="2" t="s">
        <v>460</v>
      </c>
    </row>
    <row r="11" spans="1:5" ht="30" x14ac:dyDescent="0.25">
      <c r="A11" s="2" t="s">
        <v>282</v>
      </c>
      <c r="B11" s="2" t="s">
        <v>461</v>
      </c>
      <c r="C11" s="2" t="s">
        <v>459</v>
      </c>
      <c r="D11" s="2" t="s">
        <v>462</v>
      </c>
      <c r="E11" s="2" t="s">
        <v>463</v>
      </c>
    </row>
    <row r="12" spans="1:5" x14ac:dyDescent="0.25">
      <c r="A12" s="2" t="s">
        <v>464</v>
      </c>
      <c r="B12" s="2" t="s">
        <v>465</v>
      </c>
      <c r="C12" s="2" t="s">
        <v>455</v>
      </c>
      <c r="D12" s="2" t="s">
        <v>466</v>
      </c>
      <c r="E12" s="2" t="s">
        <v>467</v>
      </c>
    </row>
    <row r="13" spans="1:5" ht="30" x14ac:dyDescent="0.25">
      <c r="A13" s="2" t="s">
        <v>347</v>
      </c>
      <c r="B13" s="2" t="s">
        <v>468</v>
      </c>
      <c r="C13" s="2" t="s">
        <v>441</v>
      </c>
      <c r="D13" s="2" t="s">
        <v>469</v>
      </c>
      <c r="E13" s="2" t="s">
        <v>470</v>
      </c>
    </row>
    <row r="14" spans="1:5" x14ac:dyDescent="0.25">
      <c r="A14" s="2" t="s">
        <v>374</v>
      </c>
      <c r="B14" s="2" t="s">
        <v>471</v>
      </c>
      <c r="C14" s="2" t="s">
        <v>428</v>
      </c>
      <c r="D14" s="2" t="s">
        <v>472</v>
      </c>
      <c r="E14" s="2" t="s">
        <v>473</v>
      </c>
    </row>
    <row r="15" spans="1:5" x14ac:dyDescent="0.25">
      <c r="A15" s="2" t="s">
        <v>405</v>
      </c>
      <c r="B15" s="2" t="s">
        <v>474</v>
      </c>
      <c r="C15" s="2" t="s">
        <v>437</v>
      </c>
      <c r="D15" s="2" t="s">
        <v>475</v>
      </c>
      <c r="E15" s="2" t="s">
        <v>476</v>
      </c>
    </row>
    <row r="16" spans="1:5" x14ac:dyDescent="0.25">
      <c r="A16" s="2" t="s">
        <v>342</v>
      </c>
      <c r="B16" s="2" t="s">
        <v>477</v>
      </c>
      <c r="C16" s="2" t="s">
        <v>478</v>
      </c>
      <c r="D16" s="2" t="s">
        <v>479</v>
      </c>
      <c r="E16" s="2" t="s">
        <v>480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"/>
  <sheetViews>
    <sheetView workbookViewId="0"/>
  </sheetViews>
  <sheetFormatPr defaultRowHeight="15" x14ac:dyDescent="0.25"/>
  <cols>
    <col min="1" max="1" width="22" customWidth="1"/>
    <col min="2" max="2" width="12" customWidth="1"/>
    <col min="3" max="3" width="42" customWidth="1"/>
    <col min="4" max="4" width="12" customWidth="1"/>
    <col min="5" max="5" width="24" customWidth="1"/>
    <col min="6" max="6" width="44" customWidth="1"/>
    <col min="7" max="7" width="46" customWidth="1"/>
  </cols>
  <sheetData>
    <row r="1" spans="1:7" x14ac:dyDescent="0.25">
      <c r="A1" s="1" t="s">
        <v>38</v>
      </c>
      <c r="B1" s="1" t="s">
        <v>35</v>
      </c>
      <c r="C1" s="1" t="s">
        <v>36</v>
      </c>
      <c r="D1" s="1" t="s">
        <v>37</v>
      </c>
      <c r="E1" s="1" t="s">
        <v>481</v>
      </c>
      <c r="F1" s="1" t="s">
        <v>482</v>
      </c>
      <c r="G1" s="1" t="s">
        <v>46</v>
      </c>
    </row>
    <row r="2" spans="1:7" x14ac:dyDescent="0.25">
      <c r="A2" s="2" t="s">
        <v>483</v>
      </c>
      <c r="B2" s="2">
        <v>14</v>
      </c>
      <c r="C2" s="2" t="s">
        <v>484</v>
      </c>
      <c r="D2" s="2" t="s">
        <v>49</v>
      </c>
      <c r="E2" s="2" t="s">
        <v>485</v>
      </c>
      <c r="F2" s="2" t="s">
        <v>486</v>
      </c>
      <c r="G2" s="2" t="s">
        <v>487</v>
      </c>
    </row>
    <row r="3" spans="1:7" x14ac:dyDescent="0.25">
      <c r="A3" s="2" t="s">
        <v>483</v>
      </c>
      <c r="B3" s="2">
        <v>189</v>
      </c>
      <c r="C3" s="2" t="s">
        <v>488</v>
      </c>
      <c r="D3" s="2" t="s">
        <v>76</v>
      </c>
      <c r="E3" s="2" t="s">
        <v>489</v>
      </c>
      <c r="F3" s="2" t="s">
        <v>490</v>
      </c>
      <c r="G3" s="2" t="s">
        <v>491</v>
      </c>
    </row>
    <row r="4" spans="1:7" ht="30" x14ac:dyDescent="0.25">
      <c r="A4" s="2" t="s">
        <v>483</v>
      </c>
      <c r="B4" s="2">
        <v>238</v>
      </c>
      <c r="C4" s="2" t="s">
        <v>492</v>
      </c>
      <c r="D4" s="2" t="s">
        <v>76</v>
      </c>
      <c r="E4" s="2" t="s">
        <v>493</v>
      </c>
      <c r="F4" s="2" t="s">
        <v>494</v>
      </c>
      <c r="G4" s="2" t="s">
        <v>495</v>
      </c>
    </row>
    <row r="5" spans="1:7" x14ac:dyDescent="0.25">
      <c r="A5" s="2" t="s">
        <v>483</v>
      </c>
      <c r="B5" s="2">
        <v>289</v>
      </c>
      <c r="C5" s="2" t="s">
        <v>496</v>
      </c>
      <c r="D5" s="2" t="s">
        <v>76</v>
      </c>
      <c r="E5" s="2" t="s">
        <v>497</v>
      </c>
      <c r="F5" s="2" t="s">
        <v>498</v>
      </c>
      <c r="G5" s="2" t="s">
        <v>499</v>
      </c>
    </row>
    <row r="6" spans="1:7" ht="30" x14ac:dyDescent="0.25">
      <c r="A6" s="2" t="s">
        <v>50</v>
      </c>
      <c r="B6" s="2">
        <v>128</v>
      </c>
      <c r="C6" s="2" t="s">
        <v>500</v>
      </c>
      <c r="D6" s="2" t="s">
        <v>76</v>
      </c>
      <c r="E6" s="2" t="s">
        <v>501</v>
      </c>
      <c r="F6" s="2" t="s">
        <v>502</v>
      </c>
      <c r="G6" s="2" t="s">
        <v>503</v>
      </c>
    </row>
    <row r="7" spans="1:7" x14ac:dyDescent="0.25">
      <c r="A7" s="2" t="s">
        <v>50</v>
      </c>
      <c r="B7" s="2">
        <v>202</v>
      </c>
      <c r="C7" s="2" t="s">
        <v>504</v>
      </c>
      <c r="D7" s="2" t="s">
        <v>49</v>
      </c>
      <c r="E7" s="2" t="s">
        <v>501</v>
      </c>
      <c r="F7" s="2" t="s">
        <v>505</v>
      </c>
      <c r="G7" s="2" t="s">
        <v>506</v>
      </c>
    </row>
    <row r="8" spans="1:7" x14ac:dyDescent="0.25">
      <c r="A8" s="2" t="s">
        <v>50</v>
      </c>
      <c r="B8" s="2">
        <v>205</v>
      </c>
      <c r="C8" s="2" t="s">
        <v>507</v>
      </c>
      <c r="D8" s="2" t="s">
        <v>49</v>
      </c>
      <c r="E8" s="2" t="s">
        <v>508</v>
      </c>
      <c r="F8" s="2" t="s">
        <v>509</v>
      </c>
      <c r="G8" s="2" t="s">
        <v>510</v>
      </c>
    </row>
    <row r="9" spans="1:7" x14ac:dyDescent="0.25">
      <c r="A9" s="2" t="s">
        <v>50</v>
      </c>
      <c r="B9" s="2">
        <v>290</v>
      </c>
      <c r="C9" s="2" t="s">
        <v>511</v>
      </c>
      <c r="D9" s="2" t="s">
        <v>49</v>
      </c>
      <c r="E9" s="2" t="s">
        <v>508</v>
      </c>
      <c r="F9" s="2" t="s">
        <v>512</v>
      </c>
      <c r="G9" s="2" t="s">
        <v>513</v>
      </c>
    </row>
    <row r="10" spans="1:7" ht="30" x14ac:dyDescent="0.25">
      <c r="A10" s="2" t="s">
        <v>431</v>
      </c>
      <c r="B10" s="2">
        <v>11</v>
      </c>
      <c r="C10" s="2" t="s">
        <v>514</v>
      </c>
      <c r="D10" s="2" t="s">
        <v>76</v>
      </c>
      <c r="E10" s="2" t="s">
        <v>515</v>
      </c>
      <c r="F10" s="2" t="s">
        <v>516</v>
      </c>
      <c r="G10" s="2" t="s">
        <v>517</v>
      </c>
    </row>
    <row r="11" spans="1:7" x14ac:dyDescent="0.25">
      <c r="A11" s="2" t="s">
        <v>431</v>
      </c>
      <c r="B11" s="2">
        <v>15</v>
      </c>
      <c r="C11" s="2" t="s">
        <v>518</v>
      </c>
      <c r="D11" s="2" t="s">
        <v>76</v>
      </c>
      <c r="E11" s="2" t="s">
        <v>519</v>
      </c>
      <c r="F11" s="2" t="s">
        <v>520</v>
      </c>
      <c r="G11" s="2" t="s">
        <v>521</v>
      </c>
    </row>
    <row r="12" spans="1:7" x14ac:dyDescent="0.25">
      <c r="A12" s="2" t="s">
        <v>431</v>
      </c>
      <c r="B12" s="2">
        <v>16</v>
      </c>
      <c r="C12" s="2" t="s">
        <v>522</v>
      </c>
      <c r="D12" s="2" t="s">
        <v>76</v>
      </c>
      <c r="E12" s="2" t="s">
        <v>523</v>
      </c>
      <c r="F12" s="2" t="s">
        <v>524</v>
      </c>
      <c r="G12" s="2" t="s">
        <v>525</v>
      </c>
    </row>
    <row r="13" spans="1:7" x14ac:dyDescent="0.25">
      <c r="A13" s="2" t="s">
        <v>431</v>
      </c>
      <c r="B13" s="2">
        <v>42</v>
      </c>
      <c r="C13" s="2" t="s">
        <v>526</v>
      </c>
      <c r="D13" s="2" t="s">
        <v>527</v>
      </c>
      <c r="E13" s="2" t="s">
        <v>528</v>
      </c>
      <c r="F13" s="2" t="s">
        <v>529</v>
      </c>
      <c r="G13" s="2" t="s">
        <v>530</v>
      </c>
    </row>
    <row r="14" spans="1:7" ht="30" x14ac:dyDescent="0.25">
      <c r="A14" s="2" t="s">
        <v>414</v>
      </c>
      <c r="B14" s="2">
        <v>438</v>
      </c>
      <c r="C14" s="2" t="s">
        <v>531</v>
      </c>
      <c r="D14" s="2" t="s">
        <v>76</v>
      </c>
      <c r="E14" s="2" t="s">
        <v>532</v>
      </c>
      <c r="F14" s="2" t="s">
        <v>533</v>
      </c>
      <c r="G14" s="2" t="s">
        <v>534</v>
      </c>
    </row>
    <row r="15" spans="1:7" x14ac:dyDescent="0.25">
      <c r="A15" s="2" t="s">
        <v>414</v>
      </c>
      <c r="B15" s="2">
        <v>567</v>
      </c>
      <c r="C15" s="2" t="s">
        <v>535</v>
      </c>
      <c r="D15" s="2" t="s">
        <v>76</v>
      </c>
      <c r="E15" s="2" t="s">
        <v>536</v>
      </c>
      <c r="F15" s="2" t="s">
        <v>537</v>
      </c>
      <c r="G15" s="2" t="s">
        <v>538</v>
      </c>
    </row>
    <row r="16" spans="1:7" ht="30" x14ac:dyDescent="0.25">
      <c r="A16" s="2" t="s">
        <v>414</v>
      </c>
      <c r="B16" s="2">
        <v>424</v>
      </c>
      <c r="C16" s="2" t="s">
        <v>539</v>
      </c>
      <c r="D16" s="2" t="s">
        <v>76</v>
      </c>
      <c r="E16" s="2" t="s">
        <v>540</v>
      </c>
      <c r="F16" s="2" t="s">
        <v>541</v>
      </c>
      <c r="G16" s="2" t="s">
        <v>542</v>
      </c>
    </row>
    <row r="17" spans="1:7" ht="30" x14ac:dyDescent="0.25">
      <c r="A17" s="2" t="s">
        <v>414</v>
      </c>
      <c r="B17" s="2">
        <v>76</v>
      </c>
      <c r="C17" s="2" t="s">
        <v>543</v>
      </c>
      <c r="D17" s="2" t="s">
        <v>527</v>
      </c>
      <c r="E17" s="2" t="s">
        <v>528</v>
      </c>
      <c r="F17" s="2" t="s">
        <v>544</v>
      </c>
      <c r="G17" s="2" t="s">
        <v>545</v>
      </c>
    </row>
    <row r="18" spans="1:7" x14ac:dyDescent="0.25">
      <c r="A18" s="2" t="s">
        <v>163</v>
      </c>
      <c r="B18" s="2">
        <v>74</v>
      </c>
      <c r="C18" s="2" t="s">
        <v>546</v>
      </c>
      <c r="D18" s="2" t="s">
        <v>76</v>
      </c>
      <c r="E18" s="2" t="s">
        <v>547</v>
      </c>
      <c r="F18" s="2" t="s">
        <v>548</v>
      </c>
      <c r="G18" s="2" t="s">
        <v>549</v>
      </c>
    </row>
    <row r="19" spans="1:7" x14ac:dyDescent="0.25">
      <c r="A19" s="2" t="s">
        <v>163</v>
      </c>
      <c r="B19" s="2">
        <v>162</v>
      </c>
      <c r="C19" s="2" t="s">
        <v>550</v>
      </c>
      <c r="D19" s="2" t="s">
        <v>76</v>
      </c>
      <c r="E19" s="2" t="s">
        <v>551</v>
      </c>
      <c r="F19" s="2" t="s">
        <v>552</v>
      </c>
      <c r="G19" s="2" t="s">
        <v>553</v>
      </c>
    </row>
    <row r="20" spans="1:7" x14ac:dyDescent="0.25">
      <c r="A20" s="2" t="s">
        <v>163</v>
      </c>
      <c r="B20" s="2">
        <v>875</v>
      </c>
      <c r="C20" s="2" t="s">
        <v>554</v>
      </c>
      <c r="D20" s="2" t="s">
        <v>76</v>
      </c>
      <c r="E20" s="2" t="s">
        <v>555</v>
      </c>
      <c r="F20" s="2" t="s">
        <v>556</v>
      </c>
      <c r="G20" s="2" t="s">
        <v>557</v>
      </c>
    </row>
    <row r="21" spans="1:7" x14ac:dyDescent="0.25">
      <c r="A21" s="2" t="s">
        <v>133</v>
      </c>
      <c r="B21" s="2">
        <v>71</v>
      </c>
      <c r="C21" s="2" t="s">
        <v>558</v>
      </c>
      <c r="D21" s="2" t="s">
        <v>76</v>
      </c>
      <c r="E21" s="2" t="s">
        <v>559</v>
      </c>
      <c r="F21" s="2" t="s">
        <v>560</v>
      </c>
      <c r="G21" s="2" t="s">
        <v>561</v>
      </c>
    </row>
    <row r="22" spans="1:7" x14ac:dyDescent="0.25">
      <c r="A22" s="2" t="s">
        <v>133</v>
      </c>
      <c r="B22" s="2">
        <v>394</v>
      </c>
      <c r="C22" s="2" t="s">
        <v>562</v>
      </c>
      <c r="D22" s="2" t="s">
        <v>76</v>
      </c>
      <c r="E22" s="2" t="s">
        <v>559</v>
      </c>
      <c r="F22" s="2" t="s">
        <v>563</v>
      </c>
      <c r="G22" s="2" t="s">
        <v>564</v>
      </c>
    </row>
    <row r="23" spans="1:7" x14ac:dyDescent="0.25">
      <c r="A23" s="2" t="s">
        <v>133</v>
      </c>
      <c r="B23" s="2">
        <v>853</v>
      </c>
      <c r="C23" s="2" t="s">
        <v>565</v>
      </c>
      <c r="D23" s="2" t="s">
        <v>76</v>
      </c>
      <c r="E23" s="2" t="s">
        <v>566</v>
      </c>
      <c r="F23" s="2" t="s">
        <v>567</v>
      </c>
      <c r="G23" s="2" t="s">
        <v>568</v>
      </c>
    </row>
    <row r="24" spans="1:7" ht="30" x14ac:dyDescent="0.25">
      <c r="A24" s="2" t="s">
        <v>133</v>
      </c>
      <c r="B24" s="2">
        <v>84</v>
      </c>
      <c r="C24" s="2" t="s">
        <v>569</v>
      </c>
      <c r="D24" s="2" t="s">
        <v>527</v>
      </c>
      <c r="E24" s="2" t="s">
        <v>528</v>
      </c>
      <c r="F24" s="2" t="s">
        <v>570</v>
      </c>
      <c r="G24" s="2" t="s">
        <v>571</v>
      </c>
    </row>
    <row r="25" spans="1:7" x14ac:dyDescent="0.25">
      <c r="A25" s="2" t="s">
        <v>188</v>
      </c>
      <c r="B25" s="2">
        <v>2</v>
      </c>
      <c r="C25" s="2" t="s">
        <v>572</v>
      </c>
      <c r="D25" s="2" t="s">
        <v>76</v>
      </c>
      <c r="E25" s="2" t="s">
        <v>573</v>
      </c>
      <c r="F25" s="2" t="s">
        <v>574</v>
      </c>
      <c r="G25" s="2" t="s">
        <v>575</v>
      </c>
    </row>
    <row r="26" spans="1:7" x14ac:dyDescent="0.25">
      <c r="A26" s="2" t="s">
        <v>188</v>
      </c>
      <c r="B26" s="2">
        <v>143</v>
      </c>
      <c r="C26" s="2" t="s">
        <v>576</v>
      </c>
      <c r="D26" s="2" t="s">
        <v>76</v>
      </c>
      <c r="E26" s="2" t="s">
        <v>577</v>
      </c>
      <c r="F26" s="2" t="s">
        <v>578</v>
      </c>
      <c r="G26" s="2" t="s">
        <v>579</v>
      </c>
    </row>
    <row r="27" spans="1:7" ht="30" x14ac:dyDescent="0.25">
      <c r="A27" s="2" t="s">
        <v>188</v>
      </c>
      <c r="B27" s="2">
        <v>160</v>
      </c>
      <c r="C27" s="2" t="s">
        <v>580</v>
      </c>
      <c r="D27" s="2" t="s">
        <v>49</v>
      </c>
      <c r="E27" s="2" t="s">
        <v>581</v>
      </c>
      <c r="F27" s="2" t="s">
        <v>582</v>
      </c>
      <c r="G27" s="2" t="s">
        <v>583</v>
      </c>
    </row>
    <row r="28" spans="1:7" ht="30" x14ac:dyDescent="0.25">
      <c r="A28" s="2" t="s">
        <v>188</v>
      </c>
      <c r="B28" s="2">
        <v>138</v>
      </c>
      <c r="C28" s="2" t="s">
        <v>584</v>
      </c>
      <c r="D28" s="2" t="s">
        <v>76</v>
      </c>
      <c r="E28" s="2" t="s">
        <v>508</v>
      </c>
      <c r="F28" s="2" t="s">
        <v>585</v>
      </c>
      <c r="G28" s="2" t="s">
        <v>586</v>
      </c>
    </row>
    <row r="29" spans="1:7" x14ac:dyDescent="0.25">
      <c r="A29" s="2" t="s">
        <v>188</v>
      </c>
      <c r="B29" s="2">
        <v>148</v>
      </c>
      <c r="C29" s="2" t="s">
        <v>587</v>
      </c>
      <c r="D29" s="2" t="s">
        <v>76</v>
      </c>
      <c r="E29" s="2" t="s">
        <v>528</v>
      </c>
      <c r="F29" s="2" t="s">
        <v>588</v>
      </c>
      <c r="G29" s="2" t="s">
        <v>589</v>
      </c>
    </row>
    <row r="30" spans="1:7" ht="30" x14ac:dyDescent="0.25">
      <c r="A30" s="2" t="s">
        <v>453</v>
      </c>
      <c r="B30" s="2">
        <v>236</v>
      </c>
      <c r="C30" s="2" t="s">
        <v>590</v>
      </c>
      <c r="D30" s="2" t="s">
        <v>76</v>
      </c>
      <c r="E30" s="2" t="s">
        <v>591</v>
      </c>
      <c r="F30" s="2" t="s">
        <v>592</v>
      </c>
      <c r="G30" s="2" t="s">
        <v>593</v>
      </c>
    </row>
    <row r="31" spans="1:7" ht="30" x14ac:dyDescent="0.25">
      <c r="A31" s="2" t="s">
        <v>453</v>
      </c>
      <c r="B31" s="2">
        <v>105</v>
      </c>
      <c r="C31" s="2" t="s">
        <v>594</v>
      </c>
      <c r="D31" s="2" t="s">
        <v>76</v>
      </c>
      <c r="E31" s="2" t="s">
        <v>595</v>
      </c>
      <c r="F31" s="2" t="s">
        <v>596</v>
      </c>
      <c r="G31" s="2" t="s">
        <v>597</v>
      </c>
    </row>
    <row r="32" spans="1:7" ht="30" x14ac:dyDescent="0.25">
      <c r="A32" s="2" t="s">
        <v>453</v>
      </c>
      <c r="B32" s="2">
        <v>144</v>
      </c>
      <c r="C32" s="2" t="s">
        <v>598</v>
      </c>
      <c r="D32" s="2" t="s">
        <v>49</v>
      </c>
      <c r="E32" s="2" t="s">
        <v>595</v>
      </c>
      <c r="F32" s="2" t="s">
        <v>599</v>
      </c>
      <c r="G32" s="2" t="s">
        <v>600</v>
      </c>
    </row>
    <row r="33" spans="1:7" ht="30" x14ac:dyDescent="0.25">
      <c r="A33" s="2" t="s">
        <v>453</v>
      </c>
      <c r="B33" s="2">
        <v>124</v>
      </c>
      <c r="C33" s="2" t="s">
        <v>601</v>
      </c>
      <c r="D33" s="2" t="s">
        <v>527</v>
      </c>
      <c r="E33" s="2" t="s">
        <v>528</v>
      </c>
      <c r="F33" s="2" t="s">
        <v>602</v>
      </c>
      <c r="G33" s="2" t="s">
        <v>603</v>
      </c>
    </row>
    <row r="34" spans="1:7" x14ac:dyDescent="0.25">
      <c r="A34" s="2" t="s">
        <v>464</v>
      </c>
      <c r="B34" s="2">
        <v>210</v>
      </c>
      <c r="C34" s="2" t="s">
        <v>604</v>
      </c>
      <c r="D34" s="2" t="s">
        <v>76</v>
      </c>
      <c r="E34" s="2" t="s">
        <v>605</v>
      </c>
      <c r="F34" s="2" t="s">
        <v>606</v>
      </c>
      <c r="G34" s="2" t="s">
        <v>607</v>
      </c>
    </row>
    <row r="35" spans="1:7" ht="30" x14ac:dyDescent="0.25">
      <c r="A35" s="2" t="s">
        <v>464</v>
      </c>
      <c r="B35" s="2">
        <v>417</v>
      </c>
      <c r="C35" s="2" t="s">
        <v>608</v>
      </c>
      <c r="D35" s="2" t="s">
        <v>76</v>
      </c>
      <c r="E35" s="2" t="s">
        <v>609</v>
      </c>
      <c r="F35" s="2" t="s">
        <v>610</v>
      </c>
      <c r="G35" s="2" t="s">
        <v>611</v>
      </c>
    </row>
    <row r="36" spans="1:7" x14ac:dyDescent="0.25">
      <c r="A36" s="2" t="s">
        <v>464</v>
      </c>
      <c r="B36" s="2">
        <v>743</v>
      </c>
      <c r="C36" s="2" t="s">
        <v>612</v>
      </c>
      <c r="D36" s="2" t="s">
        <v>76</v>
      </c>
      <c r="E36" s="2" t="s">
        <v>613</v>
      </c>
      <c r="F36" s="2" t="s">
        <v>614</v>
      </c>
      <c r="G36" s="2" t="s">
        <v>615</v>
      </c>
    </row>
    <row r="37" spans="1:7" x14ac:dyDescent="0.25">
      <c r="A37" s="2" t="s">
        <v>464</v>
      </c>
      <c r="B37" s="2">
        <v>127</v>
      </c>
      <c r="C37" s="2" t="s">
        <v>616</v>
      </c>
      <c r="D37" s="2" t="s">
        <v>527</v>
      </c>
      <c r="E37" s="2" t="s">
        <v>528</v>
      </c>
      <c r="F37" s="2" t="s">
        <v>617</v>
      </c>
      <c r="G37" s="2" t="s">
        <v>618</v>
      </c>
    </row>
    <row r="38" spans="1:7" x14ac:dyDescent="0.25">
      <c r="A38" s="2" t="s">
        <v>342</v>
      </c>
      <c r="B38" s="2">
        <v>721</v>
      </c>
      <c r="C38" s="2" t="s">
        <v>619</v>
      </c>
      <c r="D38" s="2" t="s">
        <v>76</v>
      </c>
      <c r="E38" s="2" t="s">
        <v>620</v>
      </c>
      <c r="F38" s="2" t="s">
        <v>621</v>
      </c>
      <c r="G38" s="2" t="s">
        <v>622</v>
      </c>
    </row>
    <row r="39" spans="1:7" ht="30" x14ac:dyDescent="0.25">
      <c r="A39" s="2" t="s">
        <v>342</v>
      </c>
      <c r="B39" s="2">
        <v>990</v>
      </c>
      <c r="C39" s="2" t="s">
        <v>623</v>
      </c>
      <c r="D39" s="2" t="s">
        <v>76</v>
      </c>
      <c r="E39" s="2" t="s">
        <v>620</v>
      </c>
      <c r="F39" s="2" t="s">
        <v>624</v>
      </c>
      <c r="G39" s="2" t="s">
        <v>625</v>
      </c>
    </row>
    <row r="40" spans="1:7" x14ac:dyDescent="0.25">
      <c r="A40" s="2" t="s">
        <v>347</v>
      </c>
      <c r="B40" s="2">
        <v>90</v>
      </c>
      <c r="C40" s="2" t="s">
        <v>626</v>
      </c>
      <c r="D40" s="2" t="s">
        <v>76</v>
      </c>
      <c r="E40" s="2" t="s">
        <v>627</v>
      </c>
      <c r="F40" s="2" t="s">
        <v>628</v>
      </c>
      <c r="G40" s="2" t="s">
        <v>629</v>
      </c>
    </row>
    <row r="41" spans="1:7" x14ac:dyDescent="0.25">
      <c r="A41" s="2" t="s">
        <v>347</v>
      </c>
      <c r="B41" s="2">
        <v>40</v>
      </c>
      <c r="C41" s="2" t="s">
        <v>630</v>
      </c>
      <c r="D41" s="2" t="s">
        <v>76</v>
      </c>
      <c r="E41" s="2" t="s">
        <v>631</v>
      </c>
      <c r="F41" s="2" t="s">
        <v>632</v>
      </c>
      <c r="G41" s="2" t="s">
        <v>633</v>
      </c>
    </row>
    <row r="42" spans="1:7" x14ac:dyDescent="0.25">
      <c r="A42" s="2" t="s">
        <v>347</v>
      </c>
      <c r="B42" s="2">
        <v>131</v>
      </c>
      <c r="C42" s="2" t="s">
        <v>634</v>
      </c>
      <c r="D42" s="2" t="s">
        <v>76</v>
      </c>
      <c r="E42" s="2" t="s">
        <v>635</v>
      </c>
      <c r="F42" s="2" t="s">
        <v>636</v>
      </c>
      <c r="G42" s="2" t="s">
        <v>637</v>
      </c>
    </row>
    <row r="43" spans="1:7" x14ac:dyDescent="0.25">
      <c r="A43" s="2" t="s">
        <v>347</v>
      </c>
      <c r="B43" s="2">
        <v>51</v>
      </c>
      <c r="C43" s="2" t="s">
        <v>638</v>
      </c>
      <c r="D43" s="2" t="s">
        <v>527</v>
      </c>
      <c r="E43" s="2" t="s">
        <v>528</v>
      </c>
      <c r="F43" s="2" t="s">
        <v>639</v>
      </c>
      <c r="G43" s="2" t="s">
        <v>640</v>
      </c>
    </row>
    <row r="44" spans="1:7" x14ac:dyDescent="0.25">
      <c r="A44" s="2" t="s">
        <v>641</v>
      </c>
      <c r="B44" s="2">
        <v>53</v>
      </c>
      <c r="C44" s="2" t="s">
        <v>642</v>
      </c>
      <c r="D44" s="2" t="s">
        <v>76</v>
      </c>
      <c r="E44" s="2" t="s">
        <v>643</v>
      </c>
      <c r="F44" s="2" t="s">
        <v>644</v>
      </c>
      <c r="G44" s="2" t="s">
        <v>645</v>
      </c>
    </row>
    <row r="45" spans="1:7" ht="30" x14ac:dyDescent="0.25">
      <c r="A45" s="2" t="s">
        <v>641</v>
      </c>
      <c r="B45" s="2">
        <v>152</v>
      </c>
      <c r="C45" s="2" t="s">
        <v>646</v>
      </c>
      <c r="D45" s="2" t="s">
        <v>76</v>
      </c>
      <c r="E45" s="2" t="s">
        <v>647</v>
      </c>
      <c r="F45" s="2" t="s">
        <v>648</v>
      </c>
      <c r="G45" s="2" t="s">
        <v>649</v>
      </c>
    </row>
    <row r="46" spans="1:7" x14ac:dyDescent="0.25">
      <c r="A46" s="2" t="s">
        <v>641</v>
      </c>
      <c r="B46" s="2">
        <v>62</v>
      </c>
      <c r="C46" s="2" t="s">
        <v>650</v>
      </c>
      <c r="D46" s="2" t="s">
        <v>76</v>
      </c>
      <c r="E46" s="2" t="s">
        <v>651</v>
      </c>
      <c r="F46" s="2" t="s">
        <v>652</v>
      </c>
      <c r="G46" s="2" t="s">
        <v>653</v>
      </c>
    </row>
    <row r="47" spans="1:7" ht="30" x14ac:dyDescent="0.25">
      <c r="A47" s="2" t="s">
        <v>641</v>
      </c>
      <c r="B47" s="2">
        <v>1143</v>
      </c>
      <c r="C47" s="2" t="s">
        <v>654</v>
      </c>
      <c r="D47" s="2" t="s">
        <v>76</v>
      </c>
      <c r="E47" s="2" t="s">
        <v>655</v>
      </c>
      <c r="F47" s="2" t="s">
        <v>656</v>
      </c>
      <c r="G47" s="2" t="s">
        <v>657</v>
      </c>
    </row>
    <row r="48" spans="1:7" x14ac:dyDescent="0.25">
      <c r="A48" s="2" t="s">
        <v>641</v>
      </c>
      <c r="B48" s="2">
        <v>72</v>
      </c>
      <c r="C48" s="2" t="s">
        <v>658</v>
      </c>
      <c r="D48" s="2" t="s">
        <v>76</v>
      </c>
      <c r="E48" s="2" t="s">
        <v>528</v>
      </c>
      <c r="F48" s="2" t="s">
        <v>659</v>
      </c>
      <c r="G48" s="2" t="s">
        <v>660</v>
      </c>
    </row>
    <row r="49" spans="1:7" ht="30" x14ac:dyDescent="0.25">
      <c r="A49" s="2" t="s">
        <v>641</v>
      </c>
      <c r="B49" s="2">
        <v>416</v>
      </c>
      <c r="C49" s="2" t="s">
        <v>661</v>
      </c>
      <c r="D49" s="2" t="s">
        <v>76</v>
      </c>
      <c r="E49" s="2" t="s">
        <v>662</v>
      </c>
      <c r="F49" s="2" t="s">
        <v>663</v>
      </c>
      <c r="G49" s="2" t="s">
        <v>664</v>
      </c>
    </row>
    <row r="50" spans="1:7" x14ac:dyDescent="0.25">
      <c r="A50" s="2" t="s">
        <v>641</v>
      </c>
      <c r="B50" s="2">
        <v>494</v>
      </c>
      <c r="C50" s="2" t="s">
        <v>665</v>
      </c>
      <c r="D50" s="2" t="s">
        <v>76</v>
      </c>
      <c r="E50" s="2" t="s">
        <v>666</v>
      </c>
      <c r="F50" s="2" t="s">
        <v>667</v>
      </c>
      <c r="G50" s="2" t="s">
        <v>668</v>
      </c>
    </row>
    <row r="51" spans="1:7" x14ac:dyDescent="0.25">
      <c r="A51" s="2" t="s">
        <v>405</v>
      </c>
      <c r="B51" s="2">
        <v>763</v>
      </c>
      <c r="C51" s="2" t="s">
        <v>669</v>
      </c>
      <c r="D51" s="2" t="s">
        <v>76</v>
      </c>
      <c r="E51" s="2" t="s">
        <v>670</v>
      </c>
      <c r="F51" s="2" t="s">
        <v>671</v>
      </c>
      <c r="G51" s="2" t="s">
        <v>672</v>
      </c>
    </row>
    <row r="52" spans="1:7" ht="30" x14ac:dyDescent="0.25">
      <c r="A52" s="2" t="s">
        <v>405</v>
      </c>
      <c r="B52" s="2">
        <v>435</v>
      </c>
      <c r="C52" s="2" t="s">
        <v>673</v>
      </c>
      <c r="D52" s="2" t="s">
        <v>76</v>
      </c>
      <c r="E52" s="2" t="s">
        <v>674</v>
      </c>
      <c r="F52" s="2" t="s">
        <v>675</v>
      </c>
      <c r="G52" s="2" t="s">
        <v>676</v>
      </c>
    </row>
    <row r="53" spans="1:7" ht="30" x14ac:dyDescent="0.25">
      <c r="A53" s="2" t="s">
        <v>405</v>
      </c>
      <c r="B53" s="2">
        <v>452</v>
      </c>
      <c r="C53" s="2" t="s">
        <v>677</v>
      </c>
      <c r="D53" s="2" t="s">
        <v>76</v>
      </c>
      <c r="E53" s="2" t="s">
        <v>674</v>
      </c>
      <c r="F53" s="2" t="s">
        <v>678</v>
      </c>
      <c r="G53" s="2" t="s">
        <v>679</v>
      </c>
    </row>
    <row r="54" spans="1:7" x14ac:dyDescent="0.25">
      <c r="A54" s="2" t="s">
        <v>405</v>
      </c>
      <c r="B54" s="2">
        <v>134</v>
      </c>
      <c r="C54" s="2" t="s">
        <v>680</v>
      </c>
      <c r="D54" s="2" t="s">
        <v>76</v>
      </c>
      <c r="E54" s="2" t="s">
        <v>670</v>
      </c>
      <c r="F54" s="2" t="s">
        <v>681</v>
      </c>
      <c r="G54" s="2" t="s">
        <v>682</v>
      </c>
    </row>
    <row r="55" spans="1:7" ht="30" x14ac:dyDescent="0.25">
      <c r="A55" s="2" t="s">
        <v>282</v>
      </c>
      <c r="B55" s="2">
        <v>973</v>
      </c>
      <c r="C55" s="2" t="s">
        <v>683</v>
      </c>
      <c r="D55" s="2" t="s">
        <v>76</v>
      </c>
      <c r="E55" s="2" t="s">
        <v>684</v>
      </c>
      <c r="F55" s="2" t="s">
        <v>685</v>
      </c>
      <c r="G55" s="2" t="s">
        <v>686</v>
      </c>
    </row>
    <row r="56" spans="1:7" ht="30" x14ac:dyDescent="0.25">
      <c r="A56" s="2" t="s">
        <v>282</v>
      </c>
      <c r="B56" s="2">
        <v>295</v>
      </c>
      <c r="C56" s="2" t="s">
        <v>687</v>
      </c>
      <c r="D56" s="2" t="s">
        <v>527</v>
      </c>
      <c r="E56" s="2" t="s">
        <v>528</v>
      </c>
      <c r="F56" s="2" t="s">
        <v>688</v>
      </c>
      <c r="G56" s="2" t="s">
        <v>689</v>
      </c>
    </row>
    <row r="57" spans="1:7" x14ac:dyDescent="0.25">
      <c r="A57" s="2" t="s">
        <v>282</v>
      </c>
      <c r="B57" s="2">
        <v>621</v>
      </c>
      <c r="C57" s="2" t="s">
        <v>690</v>
      </c>
      <c r="D57" s="2" t="s">
        <v>76</v>
      </c>
      <c r="E57" s="2" t="s">
        <v>691</v>
      </c>
      <c r="F57" s="2" t="s">
        <v>692</v>
      </c>
      <c r="G57" s="2" t="s">
        <v>693</v>
      </c>
    </row>
    <row r="58" spans="1:7" ht="30" x14ac:dyDescent="0.25">
      <c r="A58" s="2" t="s">
        <v>694</v>
      </c>
      <c r="B58" s="2">
        <v>208</v>
      </c>
      <c r="C58" s="2" t="s">
        <v>695</v>
      </c>
      <c r="D58" s="2" t="s">
        <v>76</v>
      </c>
      <c r="E58" s="2" t="s">
        <v>696</v>
      </c>
      <c r="F58" s="2" t="s">
        <v>697</v>
      </c>
      <c r="G58" s="2" t="s">
        <v>698</v>
      </c>
    </row>
    <row r="59" spans="1:7" ht="30" x14ac:dyDescent="0.25">
      <c r="A59" s="2" t="s">
        <v>694</v>
      </c>
      <c r="B59" s="2">
        <v>211</v>
      </c>
      <c r="C59" s="2" t="s">
        <v>699</v>
      </c>
      <c r="D59" s="2" t="s">
        <v>76</v>
      </c>
      <c r="E59" s="2" t="s">
        <v>700</v>
      </c>
      <c r="F59" s="2" t="s">
        <v>701</v>
      </c>
      <c r="G59" s="2" t="s">
        <v>702</v>
      </c>
    </row>
    <row r="60" spans="1:7" x14ac:dyDescent="0.25">
      <c r="A60" s="2" t="s">
        <v>694</v>
      </c>
      <c r="B60" s="2">
        <v>212</v>
      </c>
      <c r="C60" s="2" t="s">
        <v>703</v>
      </c>
      <c r="D60" s="2" t="s">
        <v>527</v>
      </c>
      <c r="E60" s="2" t="s">
        <v>528</v>
      </c>
      <c r="F60" s="2" t="s">
        <v>704</v>
      </c>
      <c r="G60" s="2" t="s">
        <v>705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"/>
  <sheetViews>
    <sheetView workbookViewId="0"/>
  </sheetViews>
  <sheetFormatPr defaultRowHeight="15" x14ac:dyDescent="0.25"/>
  <cols>
    <col min="1" max="4" width="26" customWidth="1"/>
  </cols>
  <sheetData>
    <row r="1" spans="1:4" x14ac:dyDescent="0.25">
      <c r="A1" s="1" t="s">
        <v>706</v>
      </c>
      <c r="B1" s="1" t="s">
        <v>707</v>
      </c>
      <c r="C1" s="1" t="s">
        <v>708</v>
      </c>
      <c r="D1" s="1" t="s">
        <v>709</v>
      </c>
    </row>
    <row r="2" spans="1:4" x14ac:dyDescent="0.25">
      <c r="A2" t="s">
        <v>7</v>
      </c>
      <c r="B2" t="s">
        <v>49</v>
      </c>
      <c r="C2" t="s">
        <v>52</v>
      </c>
      <c r="D2" t="s">
        <v>242</v>
      </c>
    </row>
    <row r="3" spans="1:4" x14ac:dyDescent="0.25">
      <c r="A3" t="s">
        <v>10</v>
      </c>
      <c r="B3" t="s">
        <v>76</v>
      </c>
      <c r="C3" t="s">
        <v>79</v>
      </c>
      <c r="D3" t="s">
        <v>347</v>
      </c>
    </row>
    <row r="4" spans="1:4" x14ac:dyDescent="0.25">
      <c r="A4" t="s">
        <v>13</v>
      </c>
      <c r="B4" t="s">
        <v>527</v>
      </c>
      <c r="C4" t="s">
        <v>103</v>
      </c>
      <c r="D4" t="s">
        <v>368</v>
      </c>
    </row>
    <row r="5" spans="1:4" x14ac:dyDescent="0.25">
      <c r="A5" t="s">
        <v>16</v>
      </c>
      <c r="C5" t="s">
        <v>119</v>
      </c>
      <c r="D5" t="s">
        <v>163</v>
      </c>
    </row>
    <row r="6" spans="1:4" x14ac:dyDescent="0.25">
      <c r="A6" t="s">
        <v>19</v>
      </c>
      <c r="C6" t="s">
        <v>123</v>
      </c>
      <c r="D6" t="s">
        <v>374</v>
      </c>
    </row>
    <row r="7" spans="1:4" x14ac:dyDescent="0.25">
      <c r="A7" t="s">
        <v>21</v>
      </c>
      <c r="C7" t="s">
        <v>416</v>
      </c>
      <c r="D7" t="s">
        <v>391</v>
      </c>
    </row>
    <row r="8" spans="1:4" x14ac:dyDescent="0.25">
      <c r="A8" t="s">
        <v>22</v>
      </c>
      <c r="D8" t="s">
        <v>321</v>
      </c>
    </row>
    <row r="9" spans="1:4" x14ac:dyDescent="0.25">
      <c r="D9" t="s">
        <v>332</v>
      </c>
    </row>
    <row r="10" spans="1:4" x14ac:dyDescent="0.25">
      <c r="D10" t="s">
        <v>316</v>
      </c>
    </row>
    <row r="11" spans="1:4" x14ac:dyDescent="0.25">
      <c r="D11" t="s">
        <v>304</v>
      </c>
    </row>
    <row r="12" spans="1:4" x14ac:dyDescent="0.25">
      <c r="D12" t="s">
        <v>405</v>
      </c>
    </row>
    <row r="13" spans="1:4" x14ac:dyDescent="0.25">
      <c r="D13" t="s">
        <v>400</v>
      </c>
    </row>
    <row r="14" spans="1:4" x14ac:dyDescent="0.25">
      <c r="D14" t="s">
        <v>64</v>
      </c>
    </row>
    <row r="15" spans="1:4" x14ac:dyDescent="0.25">
      <c r="D15" t="s">
        <v>77</v>
      </c>
    </row>
    <row r="16" spans="1:4" x14ac:dyDescent="0.25">
      <c r="D16" t="s">
        <v>50</v>
      </c>
    </row>
    <row r="17" spans="4:4" x14ac:dyDescent="0.25">
      <c r="D17" t="s">
        <v>58</v>
      </c>
    </row>
    <row r="18" spans="4:4" x14ac:dyDescent="0.25">
      <c r="D18" t="s">
        <v>282</v>
      </c>
    </row>
    <row r="19" spans="4:4" x14ac:dyDescent="0.25">
      <c r="D19" t="s">
        <v>292</v>
      </c>
    </row>
    <row r="20" spans="4:4" x14ac:dyDescent="0.25">
      <c r="D20" t="s">
        <v>287</v>
      </c>
    </row>
    <row r="21" spans="4:4" x14ac:dyDescent="0.25">
      <c r="D21" t="s">
        <v>272</v>
      </c>
    </row>
    <row r="22" spans="4:4" x14ac:dyDescent="0.25">
      <c r="D22" t="s">
        <v>267</v>
      </c>
    </row>
    <row r="23" spans="4:4" x14ac:dyDescent="0.25">
      <c r="D23" t="s">
        <v>277</v>
      </c>
    </row>
    <row r="24" spans="4:4" x14ac:dyDescent="0.25">
      <c r="D24" t="s">
        <v>188</v>
      </c>
    </row>
    <row r="25" spans="4:4" x14ac:dyDescent="0.25">
      <c r="D25" t="s">
        <v>154</v>
      </c>
    </row>
    <row r="26" spans="4:4" x14ac:dyDescent="0.25">
      <c r="D26" t="s">
        <v>107</v>
      </c>
    </row>
    <row r="27" spans="4:4" x14ac:dyDescent="0.25">
      <c r="D27" t="s">
        <v>117</v>
      </c>
    </row>
    <row r="28" spans="4:4" x14ac:dyDescent="0.25">
      <c r="D28" t="s">
        <v>414</v>
      </c>
    </row>
    <row r="29" spans="4:4" x14ac:dyDescent="0.25">
      <c r="D29" t="s">
        <v>133</v>
      </c>
    </row>
    <row r="30" spans="4:4" x14ac:dyDescent="0.25">
      <c r="D30" t="s">
        <v>144</v>
      </c>
    </row>
    <row r="31" spans="4:4" x14ac:dyDescent="0.25">
      <c r="D31" t="s">
        <v>255</v>
      </c>
    </row>
    <row r="32" spans="4:4" x14ac:dyDescent="0.25">
      <c r="D32" t="s">
        <v>216</v>
      </c>
    </row>
    <row r="33" spans="4:4" x14ac:dyDescent="0.25">
      <c r="D33" t="s">
        <v>225</v>
      </c>
    </row>
    <row r="34" spans="4:4" x14ac:dyDescent="0.25">
      <c r="D34" t="s">
        <v>93</v>
      </c>
    </row>
    <row r="35" spans="4:4" x14ac:dyDescent="0.25">
      <c r="D35" t="s">
        <v>84</v>
      </c>
    </row>
    <row r="36" spans="4:4" x14ac:dyDescent="0.25">
      <c r="D36" t="s">
        <v>342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5" x14ac:dyDescent="0.25"/>
  <cols>
    <col min="1" max="1" width="32" customWidth="1"/>
    <col min="2" max="2" width="56" customWidth="1"/>
    <col min="3" max="3" width="72" customWidth="1"/>
  </cols>
  <sheetData>
    <row r="1" spans="1:3" x14ac:dyDescent="0.25">
      <c r="A1" s="1" t="s">
        <v>710</v>
      </c>
      <c r="B1" s="1" t="s">
        <v>46</v>
      </c>
      <c r="C1" s="1" t="s">
        <v>711</v>
      </c>
    </row>
    <row r="2" spans="1:3" x14ac:dyDescent="0.25">
      <c r="A2" s="2" t="s">
        <v>712</v>
      </c>
      <c r="B2" s="2" t="s">
        <v>713</v>
      </c>
      <c r="C2" s="2" t="s">
        <v>714</v>
      </c>
    </row>
    <row r="3" spans="1:3" x14ac:dyDescent="0.25">
      <c r="A3" s="2" t="s">
        <v>715</v>
      </c>
      <c r="B3" s="2" t="s">
        <v>716</v>
      </c>
      <c r="C3" s="2" t="s">
        <v>717</v>
      </c>
    </row>
    <row r="4" spans="1:3" x14ac:dyDescent="0.25">
      <c r="A4" s="2" t="s">
        <v>718</v>
      </c>
      <c r="B4" s="2" t="s">
        <v>719</v>
      </c>
      <c r="C4" s="2" t="s">
        <v>720</v>
      </c>
    </row>
    <row r="5" spans="1:3" x14ac:dyDescent="0.25">
      <c r="A5" s="2" t="s">
        <v>721</v>
      </c>
      <c r="B5" s="2" t="s">
        <v>722</v>
      </c>
      <c r="C5" s="2" t="s">
        <v>723</v>
      </c>
    </row>
    <row r="6" spans="1:3" x14ac:dyDescent="0.25">
      <c r="A6" s="2" t="s">
        <v>724</v>
      </c>
      <c r="B6" s="2" t="s">
        <v>725</v>
      </c>
      <c r="C6" s="2" t="s">
        <v>726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93"/>
  <sheetViews>
    <sheetView workbookViewId="0"/>
  </sheetViews>
  <sheetFormatPr defaultRowHeight="15" x14ac:dyDescent="0.25"/>
  <cols>
    <col min="1" max="1" width="6" customWidth="1"/>
    <col min="2" max="2" width="12" customWidth="1"/>
    <col min="3" max="3" width="13" customWidth="1"/>
    <col min="4" max="4" width="9" customWidth="1"/>
    <col min="5" max="5" width="12" customWidth="1"/>
    <col min="6" max="6" width="8" customWidth="1"/>
    <col min="7" max="7" width="34" customWidth="1"/>
    <col min="8" max="8" width="10" customWidth="1"/>
    <col min="9" max="10" width="26" customWidth="1"/>
    <col min="11" max="11" width="18" customWidth="1"/>
    <col min="12" max="12" width="12" customWidth="1"/>
    <col min="13" max="13" width="28" customWidth="1"/>
    <col min="14" max="14" width="42" customWidth="1"/>
    <col min="15" max="15" width="12" customWidth="1"/>
    <col min="16" max="17" width="18" customWidth="1"/>
    <col min="18" max="18" width="38" customWidth="1"/>
    <col min="19" max="19" width="52" customWidth="1"/>
  </cols>
  <sheetData>
    <row r="1" spans="1:19" ht="27.95" customHeight="1" x14ac:dyDescent="0.25">
      <c r="A1" s="36" t="s">
        <v>727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32.1" customHeight="1" x14ac:dyDescent="0.25">
      <c r="A2" s="37" t="s">
        <v>728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4" spans="1:19" x14ac:dyDescent="0.25">
      <c r="A4" s="6" t="s">
        <v>729</v>
      </c>
      <c r="B4" s="10">
        <v>76</v>
      </c>
      <c r="C4" s="8" t="s">
        <v>730</v>
      </c>
      <c r="D4" s="10">
        <v>184</v>
      </c>
      <c r="E4" s="8" t="s">
        <v>731</v>
      </c>
      <c r="F4" s="12">
        <f>COUNTIF(L8:L191,"Высокий")</f>
        <v>124</v>
      </c>
    </row>
    <row r="5" spans="1:19" x14ac:dyDescent="0.25">
      <c r="A5" s="7" t="s">
        <v>732</v>
      </c>
      <c r="B5" s="11">
        <f>COUNTIF(K8:K191,"Обязательная")</f>
        <v>123</v>
      </c>
      <c r="C5" s="9" t="s">
        <v>733</v>
      </c>
      <c r="D5" s="11">
        <f>COUNTIF(K8:K191,"Попробовать")+COUNTIF(K8:K191,"Только разобрать идею")</f>
        <v>52</v>
      </c>
      <c r="E5" s="9" t="s">
        <v>7</v>
      </c>
      <c r="F5" s="13">
        <f>COUNTIF(Q8:Q191,"Не начато")</f>
        <v>184</v>
      </c>
    </row>
    <row r="7" spans="1:19" ht="33.950000000000003" customHeight="1" x14ac:dyDescent="0.25">
      <c r="A7" s="14" t="s">
        <v>734</v>
      </c>
      <c r="B7" s="14" t="s">
        <v>735</v>
      </c>
      <c r="C7" s="14" t="s">
        <v>736</v>
      </c>
      <c r="D7" s="14" t="s">
        <v>737</v>
      </c>
      <c r="E7" s="14" t="s">
        <v>738</v>
      </c>
      <c r="F7" s="14" t="s">
        <v>739</v>
      </c>
      <c r="G7" s="14" t="s">
        <v>36</v>
      </c>
      <c r="H7" s="14" t="s">
        <v>37</v>
      </c>
      <c r="I7" s="14" t="s">
        <v>38</v>
      </c>
      <c r="J7" s="14" t="s">
        <v>39</v>
      </c>
      <c r="K7" s="14" t="s">
        <v>740</v>
      </c>
      <c r="L7" s="14" t="s">
        <v>741</v>
      </c>
      <c r="M7" s="14" t="s">
        <v>742</v>
      </c>
      <c r="N7" s="14" t="s">
        <v>743</v>
      </c>
      <c r="O7" s="14" t="s">
        <v>744</v>
      </c>
      <c r="P7" s="14" t="s">
        <v>745</v>
      </c>
      <c r="Q7" s="14" t="s">
        <v>746</v>
      </c>
      <c r="R7" s="14" t="s">
        <v>747</v>
      </c>
      <c r="S7" s="14" t="s">
        <v>46</v>
      </c>
    </row>
    <row r="8" spans="1:19" ht="30" x14ac:dyDescent="0.25">
      <c r="A8" s="21">
        <v>1</v>
      </c>
      <c r="B8" s="22">
        <v>2</v>
      </c>
      <c r="C8" s="23">
        <v>46197</v>
      </c>
      <c r="D8" s="24" t="s">
        <v>748</v>
      </c>
      <c r="E8" s="22">
        <v>1</v>
      </c>
      <c r="F8" s="22">
        <v>1</v>
      </c>
      <c r="G8" s="15" t="s">
        <v>48</v>
      </c>
      <c r="H8" s="24" t="s">
        <v>49</v>
      </c>
      <c r="I8" s="15" t="s">
        <v>50</v>
      </c>
      <c r="J8" s="15" t="s">
        <v>51</v>
      </c>
      <c r="K8" s="15" t="s">
        <v>52</v>
      </c>
      <c r="L8" s="24" t="s">
        <v>749</v>
      </c>
      <c r="M8" s="15" t="s">
        <v>750</v>
      </c>
      <c r="N8" s="15" t="s">
        <v>751</v>
      </c>
      <c r="O8" s="24" t="s">
        <v>752</v>
      </c>
      <c r="P8" s="24" t="s">
        <v>19</v>
      </c>
      <c r="Q8" s="24" t="s">
        <v>7</v>
      </c>
      <c r="R8" s="15"/>
      <c r="S8" s="16" t="s">
        <v>55</v>
      </c>
    </row>
    <row r="9" spans="1:19" ht="30" x14ac:dyDescent="0.25">
      <c r="A9" s="25">
        <v>2</v>
      </c>
      <c r="B9" s="26">
        <v>2</v>
      </c>
      <c r="C9" s="27">
        <v>46197</v>
      </c>
      <c r="D9" s="28" t="s">
        <v>748</v>
      </c>
      <c r="E9" s="26">
        <v>1</v>
      </c>
      <c r="F9" s="26">
        <v>217</v>
      </c>
      <c r="G9" s="17" t="s">
        <v>57</v>
      </c>
      <c r="H9" s="28" t="s">
        <v>49</v>
      </c>
      <c r="I9" s="17" t="s">
        <v>58</v>
      </c>
      <c r="J9" s="17" t="s">
        <v>59</v>
      </c>
      <c r="K9" s="17" t="s">
        <v>52</v>
      </c>
      <c r="L9" s="28" t="s">
        <v>749</v>
      </c>
      <c r="M9" s="17" t="s">
        <v>750</v>
      </c>
      <c r="N9" s="17" t="s">
        <v>753</v>
      </c>
      <c r="O9" s="28" t="s">
        <v>752</v>
      </c>
      <c r="P9" s="28" t="s">
        <v>19</v>
      </c>
      <c r="Q9" s="28" t="s">
        <v>7</v>
      </c>
      <c r="R9" s="17"/>
      <c r="S9" s="18" t="s">
        <v>62</v>
      </c>
    </row>
    <row r="10" spans="1:19" ht="30" x14ac:dyDescent="0.25">
      <c r="A10" s="25">
        <v>3</v>
      </c>
      <c r="B10" s="26">
        <v>3</v>
      </c>
      <c r="C10" s="27">
        <v>46198</v>
      </c>
      <c r="D10" s="28" t="s">
        <v>748</v>
      </c>
      <c r="E10" s="26">
        <v>2</v>
      </c>
      <c r="F10" s="26">
        <v>387</v>
      </c>
      <c r="G10" s="17" t="s">
        <v>68</v>
      </c>
      <c r="H10" s="28" t="s">
        <v>49</v>
      </c>
      <c r="I10" s="17" t="s">
        <v>64</v>
      </c>
      <c r="J10" s="17" t="s">
        <v>65</v>
      </c>
      <c r="K10" s="17" t="s">
        <v>52</v>
      </c>
      <c r="L10" s="28" t="s">
        <v>749</v>
      </c>
      <c r="M10" s="17" t="s">
        <v>750</v>
      </c>
      <c r="N10" s="17" t="s">
        <v>751</v>
      </c>
      <c r="O10" s="28" t="s">
        <v>752</v>
      </c>
      <c r="P10" s="28" t="s">
        <v>19</v>
      </c>
      <c r="Q10" s="28" t="s">
        <v>7</v>
      </c>
      <c r="R10" s="17"/>
      <c r="S10" s="18" t="s">
        <v>70</v>
      </c>
    </row>
    <row r="11" spans="1:19" ht="30" x14ac:dyDescent="0.25">
      <c r="A11" s="25">
        <v>4</v>
      </c>
      <c r="B11" s="26">
        <v>3</v>
      </c>
      <c r="C11" s="27">
        <v>46198</v>
      </c>
      <c r="D11" s="28" t="s">
        <v>748</v>
      </c>
      <c r="E11" s="26">
        <v>2</v>
      </c>
      <c r="F11" s="26">
        <v>242</v>
      </c>
      <c r="G11" s="17" t="s">
        <v>63</v>
      </c>
      <c r="H11" s="28" t="s">
        <v>49</v>
      </c>
      <c r="I11" s="17" t="s">
        <v>64</v>
      </c>
      <c r="J11" s="17" t="s">
        <v>65</v>
      </c>
      <c r="K11" s="17" t="s">
        <v>52</v>
      </c>
      <c r="L11" s="28" t="s">
        <v>749</v>
      </c>
      <c r="M11" s="17" t="s">
        <v>750</v>
      </c>
      <c r="N11" s="17" t="s">
        <v>751</v>
      </c>
      <c r="O11" s="28" t="s">
        <v>752</v>
      </c>
      <c r="P11" s="28" t="s">
        <v>19</v>
      </c>
      <c r="Q11" s="28" t="s">
        <v>7</v>
      </c>
      <c r="R11" s="17"/>
      <c r="S11" s="18" t="s">
        <v>67</v>
      </c>
    </row>
    <row r="12" spans="1:19" ht="30" x14ac:dyDescent="0.25">
      <c r="A12" s="25">
        <v>5</v>
      </c>
      <c r="B12" s="26">
        <v>4</v>
      </c>
      <c r="C12" s="27">
        <v>46199</v>
      </c>
      <c r="D12" s="28" t="s">
        <v>748</v>
      </c>
      <c r="E12" s="26">
        <v>3</v>
      </c>
      <c r="F12" s="26">
        <v>383</v>
      </c>
      <c r="G12" s="17" t="s">
        <v>71</v>
      </c>
      <c r="H12" s="28" t="s">
        <v>49</v>
      </c>
      <c r="I12" s="17" t="s">
        <v>64</v>
      </c>
      <c r="J12" s="17" t="s">
        <v>72</v>
      </c>
      <c r="K12" s="17" t="s">
        <v>52</v>
      </c>
      <c r="L12" s="28" t="s">
        <v>749</v>
      </c>
      <c r="M12" s="17" t="s">
        <v>750</v>
      </c>
      <c r="N12" s="17" t="s">
        <v>751</v>
      </c>
      <c r="O12" s="28" t="s">
        <v>752</v>
      </c>
      <c r="P12" s="28" t="s">
        <v>19</v>
      </c>
      <c r="Q12" s="28" t="s">
        <v>7</v>
      </c>
      <c r="R12" s="17"/>
      <c r="S12" s="18" t="s">
        <v>74</v>
      </c>
    </row>
    <row r="13" spans="1:19" ht="30" x14ac:dyDescent="0.25">
      <c r="A13" s="25">
        <v>6</v>
      </c>
      <c r="B13" s="26">
        <v>4</v>
      </c>
      <c r="C13" s="27">
        <v>46199</v>
      </c>
      <c r="D13" s="28" t="s">
        <v>754</v>
      </c>
      <c r="E13" s="26">
        <v>1</v>
      </c>
      <c r="F13" s="26">
        <v>1</v>
      </c>
      <c r="G13" s="17" t="s">
        <v>48</v>
      </c>
      <c r="H13" s="28" t="s">
        <v>49</v>
      </c>
      <c r="I13" s="17" t="s">
        <v>50</v>
      </c>
      <c r="J13" s="17" t="s">
        <v>51</v>
      </c>
      <c r="K13" s="17" t="s">
        <v>52</v>
      </c>
      <c r="L13" s="28" t="s">
        <v>749</v>
      </c>
      <c r="M13" s="17" t="s">
        <v>755</v>
      </c>
      <c r="N13" s="17" t="s">
        <v>751</v>
      </c>
      <c r="O13" s="28" t="s">
        <v>756</v>
      </c>
      <c r="P13" s="28" t="s">
        <v>19</v>
      </c>
      <c r="Q13" s="28" t="s">
        <v>7</v>
      </c>
      <c r="R13" s="17"/>
      <c r="S13" s="18" t="s">
        <v>55</v>
      </c>
    </row>
    <row r="14" spans="1:19" ht="30" x14ac:dyDescent="0.25">
      <c r="A14" s="25">
        <v>7</v>
      </c>
      <c r="B14" s="26">
        <v>4</v>
      </c>
      <c r="C14" s="27">
        <v>46199</v>
      </c>
      <c r="D14" s="28" t="s">
        <v>754</v>
      </c>
      <c r="E14" s="26">
        <v>1</v>
      </c>
      <c r="F14" s="26">
        <v>217</v>
      </c>
      <c r="G14" s="17" t="s">
        <v>57</v>
      </c>
      <c r="H14" s="28" t="s">
        <v>49</v>
      </c>
      <c r="I14" s="17" t="s">
        <v>58</v>
      </c>
      <c r="J14" s="17" t="s">
        <v>59</v>
      </c>
      <c r="K14" s="17" t="s">
        <v>52</v>
      </c>
      <c r="L14" s="28" t="s">
        <v>749</v>
      </c>
      <c r="M14" s="17" t="s">
        <v>755</v>
      </c>
      <c r="N14" s="17" t="s">
        <v>753</v>
      </c>
      <c r="O14" s="28" t="s">
        <v>756</v>
      </c>
      <c r="P14" s="28" t="s">
        <v>19</v>
      </c>
      <c r="Q14" s="28" t="s">
        <v>7</v>
      </c>
      <c r="R14" s="17"/>
      <c r="S14" s="18" t="s">
        <v>62</v>
      </c>
    </row>
    <row r="15" spans="1:19" ht="30" x14ac:dyDescent="0.25">
      <c r="A15" s="25">
        <v>8</v>
      </c>
      <c r="B15" s="26">
        <v>5</v>
      </c>
      <c r="C15" s="27">
        <v>46200</v>
      </c>
      <c r="D15" s="28" t="s">
        <v>754</v>
      </c>
      <c r="E15" s="26">
        <v>2</v>
      </c>
      <c r="F15" s="26">
        <v>387</v>
      </c>
      <c r="G15" s="17" t="s">
        <v>68</v>
      </c>
      <c r="H15" s="28" t="s">
        <v>49</v>
      </c>
      <c r="I15" s="17" t="s">
        <v>64</v>
      </c>
      <c r="J15" s="17" t="s">
        <v>65</v>
      </c>
      <c r="K15" s="17" t="s">
        <v>52</v>
      </c>
      <c r="L15" s="28" t="s">
        <v>749</v>
      </c>
      <c r="M15" s="17" t="s">
        <v>755</v>
      </c>
      <c r="N15" s="17" t="s">
        <v>751</v>
      </c>
      <c r="O15" s="28" t="s">
        <v>756</v>
      </c>
      <c r="P15" s="28" t="s">
        <v>19</v>
      </c>
      <c r="Q15" s="28" t="s">
        <v>7</v>
      </c>
      <c r="R15" s="17"/>
      <c r="S15" s="18" t="s">
        <v>70</v>
      </c>
    </row>
    <row r="16" spans="1:19" ht="30" x14ac:dyDescent="0.25">
      <c r="A16" s="25">
        <v>9</v>
      </c>
      <c r="B16" s="26">
        <v>5</v>
      </c>
      <c r="C16" s="27">
        <v>46200</v>
      </c>
      <c r="D16" s="28" t="s">
        <v>754</v>
      </c>
      <c r="E16" s="26">
        <v>2</v>
      </c>
      <c r="F16" s="26">
        <v>242</v>
      </c>
      <c r="G16" s="17" t="s">
        <v>63</v>
      </c>
      <c r="H16" s="28" t="s">
        <v>49</v>
      </c>
      <c r="I16" s="17" t="s">
        <v>64</v>
      </c>
      <c r="J16" s="17" t="s">
        <v>65</v>
      </c>
      <c r="K16" s="17" t="s">
        <v>52</v>
      </c>
      <c r="L16" s="28" t="s">
        <v>749</v>
      </c>
      <c r="M16" s="17" t="s">
        <v>755</v>
      </c>
      <c r="N16" s="17" t="s">
        <v>751</v>
      </c>
      <c r="O16" s="28" t="s">
        <v>756</v>
      </c>
      <c r="P16" s="28" t="s">
        <v>19</v>
      </c>
      <c r="Q16" s="28" t="s">
        <v>7</v>
      </c>
      <c r="R16" s="17"/>
      <c r="S16" s="18" t="s">
        <v>67</v>
      </c>
    </row>
    <row r="17" spans="1:19" ht="30" x14ac:dyDescent="0.25">
      <c r="A17" s="25">
        <v>10</v>
      </c>
      <c r="B17" s="26">
        <v>5</v>
      </c>
      <c r="C17" s="27">
        <v>46200</v>
      </c>
      <c r="D17" s="28" t="s">
        <v>748</v>
      </c>
      <c r="E17" s="26">
        <v>4</v>
      </c>
      <c r="F17" s="26">
        <v>283</v>
      </c>
      <c r="G17" s="17" t="s">
        <v>83</v>
      </c>
      <c r="H17" s="28" t="s">
        <v>49</v>
      </c>
      <c r="I17" s="17" t="s">
        <v>84</v>
      </c>
      <c r="J17" s="17" t="s">
        <v>85</v>
      </c>
      <c r="K17" s="17" t="s">
        <v>52</v>
      </c>
      <c r="L17" s="28" t="s">
        <v>749</v>
      </c>
      <c r="M17" s="17" t="s">
        <v>750</v>
      </c>
      <c r="N17" s="17" t="s">
        <v>757</v>
      </c>
      <c r="O17" s="28" t="s">
        <v>752</v>
      </c>
      <c r="P17" s="28" t="s">
        <v>16</v>
      </c>
      <c r="Q17" s="28" t="s">
        <v>7</v>
      </c>
      <c r="R17" s="17"/>
      <c r="S17" s="18" t="s">
        <v>88</v>
      </c>
    </row>
    <row r="18" spans="1:19" ht="30" x14ac:dyDescent="0.25">
      <c r="A18" s="25">
        <v>11</v>
      </c>
      <c r="B18" s="26">
        <v>5</v>
      </c>
      <c r="C18" s="27">
        <v>46200</v>
      </c>
      <c r="D18" s="28" t="s">
        <v>748</v>
      </c>
      <c r="E18" s="26">
        <v>4</v>
      </c>
      <c r="F18" s="26">
        <v>27</v>
      </c>
      <c r="G18" s="17" t="s">
        <v>89</v>
      </c>
      <c r="H18" s="28" t="s">
        <v>49</v>
      </c>
      <c r="I18" s="17" t="s">
        <v>84</v>
      </c>
      <c r="J18" s="17" t="s">
        <v>85</v>
      </c>
      <c r="K18" s="17" t="s">
        <v>52</v>
      </c>
      <c r="L18" s="28" t="s">
        <v>749</v>
      </c>
      <c r="M18" s="17" t="s">
        <v>750</v>
      </c>
      <c r="N18" s="17" t="s">
        <v>757</v>
      </c>
      <c r="O18" s="28" t="s">
        <v>752</v>
      </c>
      <c r="P18" s="28" t="s">
        <v>16</v>
      </c>
      <c r="Q18" s="28" t="s">
        <v>7</v>
      </c>
      <c r="R18" s="17"/>
      <c r="S18" s="18" t="s">
        <v>91</v>
      </c>
    </row>
    <row r="19" spans="1:19" ht="30" x14ac:dyDescent="0.25">
      <c r="A19" s="25">
        <v>12</v>
      </c>
      <c r="B19" s="26">
        <v>5</v>
      </c>
      <c r="C19" s="27">
        <v>46200</v>
      </c>
      <c r="D19" s="28" t="s">
        <v>758</v>
      </c>
      <c r="E19" s="26">
        <v>3</v>
      </c>
      <c r="F19" s="26">
        <v>49</v>
      </c>
      <c r="G19" s="17" t="s">
        <v>75</v>
      </c>
      <c r="H19" s="28" t="s">
        <v>76</v>
      </c>
      <c r="I19" s="17" t="s">
        <v>77</v>
      </c>
      <c r="J19" s="17" t="s">
        <v>78</v>
      </c>
      <c r="K19" s="17" t="s">
        <v>79</v>
      </c>
      <c r="L19" s="28" t="s">
        <v>759</v>
      </c>
      <c r="M19" s="17" t="s">
        <v>760</v>
      </c>
      <c r="N19" s="17" t="s">
        <v>751</v>
      </c>
      <c r="O19" s="28" t="s">
        <v>761</v>
      </c>
      <c r="P19" s="28" t="s">
        <v>19</v>
      </c>
      <c r="Q19" s="28" t="s">
        <v>7</v>
      </c>
      <c r="R19" s="17"/>
      <c r="S19" s="18" t="s">
        <v>82</v>
      </c>
    </row>
    <row r="20" spans="1:19" ht="30" x14ac:dyDescent="0.25">
      <c r="A20" s="25">
        <v>13</v>
      </c>
      <c r="B20" s="26">
        <v>6</v>
      </c>
      <c r="C20" s="27">
        <v>46201</v>
      </c>
      <c r="D20" s="28" t="s">
        <v>754</v>
      </c>
      <c r="E20" s="26">
        <v>3</v>
      </c>
      <c r="F20" s="26">
        <v>383</v>
      </c>
      <c r="G20" s="17" t="s">
        <v>71</v>
      </c>
      <c r="H20" s="28" t="s">
        <v>49</v>
      </c>
      <c r="I20" s="17" t="s">
        <v>64</v>
      </c>
      <c r="J20" s="17" t="s">
        <v>72</v>
      </c>
      <c r="K20" s="17" t="s">
        <v>52</v>
      </c>
      <c r="L20" s="28" t="s">
        <v>749</v>
      </c>
      <c r="M20" s="17" t="s">
        <v>755</v>
      </c>
      <c r="N20" s="17" t="s">
        <v>751</v>
      </c>
      <c r="O20" s="28" t="s">
        <v>756</v>
      </c>
      <c r="P20" s="28" t="s">
        <v>19</v>
      </c>
      <c r="Q20" s="28" t="s">
        <v>7</v>
      </c>
      <c r="R20" s="17"/>
      <c r="S20" s="18" t="s">
        <v>74</v>
      </c>
    </row>
    <row r="21" spans="1:19" ht="30" x14ac:dyDescent="0.25">
      <c r="A21" s="25">
        <v>14</v>
      </c>
      <c r="B21" s="26">
        <v>6</v>
      </c>
      <c r="C21" s="27">
        <v>46201</v>
      </c>
      <c r="D21" s="28" t="s">
        <v>748</v>
      </c>
      <c r="E21" s="26">
        <v>5</v>
      </c>
      <c r="F21" s="26">
        <v>125</v>
      </c>
      <c r="G21" s="17" t="s">
        <v>92</v>
      </c>
      <c r="H21" s="28" t="s">
        <v>49</v>
      </c>
      <c r="I21" s="17" t="s">
        <v>93</v>
      </c>
      <c r="J21" s="17" t="s">
        <v>94</v>
      </c>
      <c r="K21" s="17" t="s">
        <v>52</v>
      </c>
      <c r="L21" s="28" t="s">
        <v>749</v>
      </c>
      <c r="M21" s="17" t="s">
        <v>750</v>
      </c>
      <c r="N21" s="17" t="s">
        <v>757</v>
      </c>
      <c r="O21" s="28" t="s">
        <v>752</v>
      </c>
      <c r="P21" s="28" t="s">
        <v>19</v>
      </c>
      <c r="Q21" s="28" t="s">
        <v>7</v>
      </c>
      <c r="R21" s="17"/>
      <c r="S21" s="18" t="s">
        <v>98</v>
      </c>
    </row>
    <row r="22" spans="1:19" ht="30" x14ac:dyDescent="0.25">
      <c r="A22" s="25">
        <v>15</v>
      </c>
      <c r="B22" s="26">
        <v>7</v>
      </c>
      <c r="C22" s="27">
        <v>46202</v>
      </c>
      <c r="D22" s="28" t="s">
        <v>748</v>
      </c>
      <c r="E22" s="26">
        <v>6</v>
      </c>
      <c r="F22" s="26">
        <v>303</v>
      </c>
      <c r="G22" s="17" t="s">
        <v>111</v>
      </c>
      <c r="H22" s="28" t="s">
        <v>49</v>
      </c>
      <c r="I22" s="17" t="s">
        <v>107</v>
      </c>
      <c r="J22" s="17" t="s">
        <v>112</v>
      </c>
      <c r="K22" s="17" t="s">
        <v>52</v>
      </c>
      <c r="L22" s="28" t="s">
        <v>749</v>
      </c>
      <c r="M22" s="17" t="s">
        <v>750</v>
      </c>
      <c r="N22" s="17" t="s">
        <v>762</v>
      </c>
      <c r="O22" s="28" t="s">
        <v>752</v>
      </c>
      <c r="P22" s="28" t="s">
        <v>16</v>
      </c>
      <c r="Q22" s="28" t="s">
        <v>7</v>
      </c>
      <c r="R22" s="17"/>
      <c r="S22" s="18" t="s">
        <v>115</v>
      </c>
    </row>
    <row r="23" spans="1:19" ht="30" x14ac:dyDescent="0.25">
      <c r="A23" s="25">
        <v>16</v>
      </c>
      <c r="B23" s="26">
        <v>7</v>
      </c>
      <c r="C23" s="27">
        <v>46202</v>
      </c>
      <c r="D23" s="28" t="s">
        <v>748</v>
      </c>
      <c r="E23" s="26">
        <v>6</v>
      </c>
      <c r="F23" s="26">
        <v>1480</v>
      </c>
      <c r="G23" s="17" t="s">
        <v>106</v>
      </c>
      <c r="H23" s="28" t="s">
        <v>49</v>
      </c>
      <c r="I23" s="17" t="s">
        <v>107</v>
      </c>
      <c r="J23" s="17" t="s">
        <v>108</v>
      </c>
      <c r="K23" s="17" t="s">
        <v>52</v>
      </c>
      <c r="L23" s="28" t="s">
        <v>749</v>
      </c>
      <c r="M23" s="17" t="s">
        <v>750</v>
      </c>
      <c r="N23" s="17" t="s">
        <v>762</v>
      </c>
      <c r="O23" s="28" t="s">
        <v>752</v>
      </c>
      <c r="P23" s="28" t="s">
        <v>19</v>
      </c>
      <c r="Q23" s="28" t="s">
        <v>7</v>
      </c>
      <c r="R23" s="17"/>
      <c r="S23" s="18" t="s">
        <v>110</v>
      </c>
    </row>
    <row r="24" spans="1:19" ht="30" x14ac:dyDescent="0.25">
      <c r="A24" s="25">
        <v>17</v>
      </c>
      <c r="B24" s="26">
        <v>7</v>
      </c>
      <c r="C24" s="27">
        <v>46202</v>
      </c>
      <c r="D24" s="28" t="s">
        <v>754</v>
      </c>
      <c r="E24" s="26">
        <v>4</v>
      </c>
      <c r="F24" s="26">
        <v>283</v>
      </c>
      <c r="G24" s="17" t="s">
        <v>83</v>
      </c>
      <c r="H24" s="28" t="s">
        <v>49</v>
      </c>
      <c r="I24" s="17" t="s">
        <v>84</v>
      </c>
      <c r="J24" s="17" t="s">
        <v>85</v>
      </c>
      <c r="K24" s="17" t="s">
        <v>52</v>
      </c>
      <c r="L24" s="28" t="s">
        <v>749</v>
      </c>
      <c r="M24" s="17" t="s">
        <v>755</v>
      </c>
      <c r="N24" s="17" t="s">
        <v>757</v>
      </c>
      <c r="O24" s="28" t="s">
        <v>756</v>
      </c>
      <c r="P24" s="28" t="s">
        <v>16</v>
      </c>
      <c r="Q24" s="28" t="s">
        <v>7</v>
      </c>
      <c r="R24" s="17"/>
      <c r="S24" s="18" t="s">
        <v>88</v>
      </c>
    </row>
    <row r="25" spans="1:19" ht="30" x14ac:dyDescent="0.25">
      <c r="A25" s="25">
        <v>18</v>
      </c>
      <c r="B25" s="26">
        <v>7</v>
      </c>
      <c r="C25" s="27">
        <v>46202</v>
      </c>
      <c r="D25" s="28" t="s">
        <v>754</v>
      </c>
      <c r="E25" s="26">
        <v>4</v>
      </c>
      <c r="F25" s="26">
        <v>27</v>
      </c>
      <c r="G25" s="17" t="s">
        <v>89</v>
      </c>
      <c r="H25" s="28" t="s">
        <v>49</v>
      </c>
      <c r="I25" s="17" t="s">
        <v>84</v>
      </c>
      <c r="J25" s="17" t="s">
        <v>85</v>
      </c>
      <c r="K25" s="17" t="s">
        <v>52</v>
      </c>
      <c r="L25" s="28" t="s">
        <v>749</v>
      </c>
      <c r="M25" s="17" t="s">
        <v>755</v>
      </c>
      <c r="N25" s="17" t="s">
        <v>757</v>
      </c>
      <c r="O25" s="28" t="s">
        <v>756</v>
      </c>
      <c r="P25" s="28" t="s">
        <v>16</v>
      </c>
      <c r="Q25" s="28" t="s">
        <v>7</v>
      </c>
      <c r="R25" s="17"/>
      <c r="S25" s="18" t="s">
        <v>91</v>
      </c>
    </row>
    <row r="26" spans="1:19" ht="30" x14ac:dyDescent="0.25">
      <c r="A26" s="25">
        <v>19</v>
      </c>
      <c r="B26" s="26">
        <v>7</v>
      </c>
      <c r="C26" s="27">
        <v>46202</v>
      </c>
      <c r="D26" s="28" t="s">
        <v>758</v>
      </c>
      <c r="E26" s="26">
        <v>5</v>
      </c>
      <c r="F26" s="26">
        <v>167</v>
      </c>
      <c r="G26" s="17" t="s">
        <v>99</v>
      </c>
      <c r="H26" s="28" t="s">
        <v>76</v>
      </c>
      <c r="I26" s="17" t="s">
        <v>93</v>
      </c>
      <c r="J26" s="17" t="s">
        <v>94</v>
      </c>
      <c r="K26" s="17" t="s">
        <v>79</v>
      </c>
      <c r="L26" s="28" t="s">
        <v>759</v>
      </c>
      <c r="M26" s="17" t="s">
        <v>760</v>
      </c>
      <c r="N26" s="17" t="s">
        <v>757</v>
      </c>
      <c r="O26" s="28" t="s">
        <v>761</v>
      </c>
      <c r="P26" s="28" t="s">
        <v>19</v>
      </c>
      <c r="Q26" s="28" t="s">
        <v>7</v>
      </c>
      <c r="R26" s="17"/>
      <c r="S26" s="18" t="s">
        <v>101</v>
      </c>
    </row>
    <row r="27" spans="1:19" ht="30" x14ac:dyDescent="0.25">
      <c r="A27" s="25">
        <v>20</v>
      </c>
      <c r="B27" s="26">
        <v>8</v>
      </c>
      <c r="C27" s="27">
        <v>46203</v>
      </c>
      <c r="D27" s="28" t="s">
        <v>763</v>
      </c>
      <c r="E27" s="26">
        <v>1</v>
      </c>
      <c r="F27" s="26">
        <v>1</v>
      </c>
      <c r="G27" s="17" t="s">
        <v>48</v>
      </c>
      <c r="H27" s="28" t="s">
        <v>49</v>
      </c>
      <c r="I27" s="17" t="s">
        <v>50</v>
      </c>
      <c r="J27" s="17" t="s">
        <v>51</v>
      </c>
      <c r="K27" s="17" t="s">
        <v>52</v>
      </c>
      <c r="L27" s="28" t="s">
        <v>749</v>
      </c>
      <c r="M27" s="17" t="s">
        <v>764</v>
      </c>
      <c r="N27" s="17" t="s">
        <v>751</v>
      </c>
      <c r="O27" s="28" t="s">
        <v>765</v>
      </c>
      <c r="P27" s="28" t="s">
        <v>19</v>
      </c>
      <c r="Q27" s="28" t="s">
        <v>7</v>
      </c>
      <c r="R27" s="17"/>
      <c r="S27" s="18" t="s">
        <v>55</v>
      </c>
    </row>
    <row r="28" spans="1:19" ht="30" x14ac:dyDescent="0.25">
      <c r="A28" s="25">
        <v>21</v>
      </c>
      <c r="B28" s="26">
        <v>8</v>
      </c>
      <c r="C28" s="27">
        <v>46203</v>
      </c>
      <c r="D28" s="28" t="s">
        <v>763</v>
      </c>
      <c r="E28" s="26">
        <v>1</v>
      </c>
      <c r="F28" s="26">
        <v>217</v>
      </c>
      <c r="G28" s="17" t="s">
        <v>57</v>
      </c>
      <c r="H28" s="28" t="s">
        <v>49</v>
      </c>
      <c r="I28" s="17" t="s">
        <v>58</v>
      </c>
      <c r="J28" s="17" t="s">
        <v>59</v>
      </c>
      <c r="K28" s="17" t="s">
        <v>52</v>
      </c>
      <c r="L28" s="28" t="s">
        <v>749</v>
      </c>
      <c r="M28" s="17" t="s">
        <v>764</v>
      </c>
      <c r="N28" s="17" t="s">
        <v>753</v>
      </c>
      <c r="O28" s="28" t="s">
        <v>765</v>
      </c>
      <c r="P28" s="28" t="s">
        <v>19</v>
      </c>
      <c r="Q28" s="28" t="s">
        <v>7</v>
      </c>
      <c r="R28" s="17"/>
      <c r="S28" s="18" t="s">
        <v>62</v>
      </c>
    </row>
    <row r="29" spans="1:19" ht="30" x14ac:dyDescent="0.25">
      <c r="A29" s="25">
        <v>22</v>
      </c>
      <c r="B29" s="26">
        <v>8</v>
      </c>
      <c r="C29" s="27">
        <v>46203</v>
      </c>
      <c r="D29" s="28" t="s">
        <v>754</v>
      </c>
      <c r="E29" s="26">
        <v>5</v>
      </c>
      <c r="F29" s="26">
        <v>125</v>
      </c>
      <c r="G29" s="17" t="s">
        <v>92</v>
      </c>
      <c r="H29" s="28" t="s">
        <v>49</v>
      </c>
      <c r="I29" s="17" t="s">
        <v>93</v>
      </c>
      <c r="J29" s="17" t="s">
        <v>94</v>
      </c>
      <c r="K29" s="17" t="s">
        <v>52</v>
      </c>
      <c r="L29" s="28" t="s">
        <v>749</v>
      </c>
      <c r="M29" s="17" t="s">
        <v>755</v>
      </c>
      <c r="N29" s="17" t="s">
        <v>757</v>
      </c>
      <c r="O29" s="28" t="s">
        <v>756</v>
      </c>
      <c r="P29" s="28" t="s">
        <v>19</v>
      </c>
      <c r="Q29" s="28" t="s">
        <v>7</v>
      </c>
      <c r="R29" s="17"/>
      <c r="S29" s="18" t="s">
        <v>98</v>
      </c>
    </row>
    <row r="30" spans="1:19" ht="30" x14ac:dyDescent="0.25">
      <c r="A30" s="25">
        <v>23</v>
      </c>
      <c r="B30" s="26">
        <v>9</v>
      </c>
      <c r="C30" s="27">
        <v>46204</v>
      </c>
      <c r="D30" s="28" t="s">
        <v>763</v>
      </c>
      <c r="E30" s="26">
        <v>2</v>
      </c>
      <c r="F30" s="26">
        <v>387</v>
      </c>
      <c r="G30" s="17" t="s">
        <v>68</v>
      </c>
      <c r="H30" s="28" t="s">
        <v>49</v>
      </c>
      <c r="I30" s="17" t="s">
        <v>64</v>
      </c>
      <c r="J30" s="17" t="s">
        <v>65</v>
      </c>
      <c r="K30" s="17" t="s">
        <v>52</v>
      </c>
      <c r="L30" s="28" t="s">
        <v>749</v>
      </c>
      <c r="M30" s="17" t="s">
        <v>764</v>
      </c>
      <c r="N30" s="17" t="s">
        <v>751</v>
      </c>
      <c r="O30" s="28" t="s">
        <v>765</v>
      </c>
      <c r="P30" s="28" t="s">
        <v>19</v>
      </c>
      <c r="Q30" s="28" t="s">
        <v>7</v>
      </c>
      <c r="R30" s="17"/>
      <c r="S30" s="18" t="s">
        <v>70</v>
      </c>
    </row>
    <row r="31" spans="1:19" ht="30" x14ac:dyDescent="0.25">
      <c r="A31" s="25">
        <v>24</v>
      </c>
      <c r="B31" s="26">
        <v>9</v>
      </c>
      <c r="C31" s="27">
        <v>46204</v>
      </c>
      <c r="D31" s="28" t="s">
        <v>763</v>
      </c>
      <c r="E31" s="26">
        <v>2</v>
      </c>
      <c r="F31" s="26">
        <v>242</v>
      </c>
      <c r="G31" s="17" t="s">
        <v>63</v>
      </c>
      <c r="H31" s="28" t="s">
        <v>49</v>
      </c>
      <c r="I31" s="17" t="s">
        <v>64</v>
      </c>
      <c r="J31" s="17" t="s">
        <v>65</v>
      </c>
      <c r="K31" s="17" t="s">
        <v>52</v>
      </c>
      <c r="L31" s="28" t="s">
        <v>749</v>
      </c>
      <c r="M31" s="17" t="s">
        <v>764</v>
      </c>
      <c r="N31" s="17" t="s">
        <v>751</v>
      </c>
      <c r="O31" s="28" t="s">
        <v>765</v>
      </c>
      <c r="P31" s="28" t="s">
        <v>19</v>
      </c>
      <c r="Q31" s="28" t="s">
        <v>7</v>
      </c>
      <c r="R31" s="17"/>
      <c r="S31" s="18" t="s">
        <v>67</v>
      </c>
    </row>
    <row r="32" spans="1:19" ht="30" x14ac:dyDescent="0.25">
      <c r="A32" s="25">
        <v>25</v>
      </c>
      <c r="B32" s="26">
        <v>9</v>
      </c>
      <c r="C32" s="27">
        <v>46204</v>
      </c>
      <c r="D32" s="28" t="s">
        <v>754</v>
      </c>
      <c r="E32" s="26">
        <v>6</v>
      </c>
      <c r="F32" s="26">
        <v>303</v>
      </c>
      <c r="G32" s="17" t="s">
        <v>111</v>
      </c>
      <c r="H32" s="28" t="s">
        <v>49</v>
      </c>
      <c r="I32" s="17" t="s">
        <v>107</v>
      </c>
      <c r="J32" s="17" t="s">
        <v>112</v>
      </c>
      <c r="K32" s="17" t="s">
        <v>52</v>
      </c>
      <c r="L32" s="28" t="s">
        <v>749</v>
      </c>
      <c r="M32" s="17" t="s">
        <v>755</v>
      </c>
      <c r="N32" s="17" t="s">
        <v>762</v>
      </c>
      <c r="O32" s="28" t="s">
        <v>756</v>
      </c>
      <c r="P32" s="28" t="s">
        <v>16</v>
      </c>
      <c r="Q32" s="28" t="s">
        <v>7</v>
      </c>
      <c r="R32" s="17"/>
      <c r="S32" s="18" t="s">
        <v>115</v>
      </c>
    </row>
    <row r="33" spans="1:19" ht="30" x14ac:dyDescent="0.25">
      <c r="A33" s="25">
        <v>26</v>
      </c>
      <c r="B33" s="26">
        <v>9</v>
      </c>
      <c r="C33" s="27">
        <v>46204</v>
      </c>
      <c r="D33" s="28" t="s">
        <v>754</v>
      </c>
      <c r="E33" s="26">
        <v>6</v>
      </c>
      <c r="F33" s="26">
        <v>1480</v>
      </c>
      <c r="G33" s="17" t="s">
        <v>106</v>
      </c>
      <c r="H33" s="28" t="s">
        <v>49</v>
      </c>
      <c r="I33" s="17" t="s">
        <v>107</v>
      </c>
      <c r="J33" s="17" t="s">
        <v>108</v>
      </c>
      <c r="K33" s="17" t="s">
        <v>52</v>
      </c>
      <c r="L33" s="28" t="s">
        <v>749</v>
      </c>
      <c r="M33" s="17" t="s">
        <v>755</v>
      </c>
      <c r="N33" s="17" t="s">
        <v>762</v>
      </c>
      <c r="O33" s="28" t="s">
        <v>756</v>
      </c>
      <c r="P33" s="28" t="s">
        <v>19</v>
      </c>
      <c r="Q33" s="28" t="s">
        <v>7</v>
      </c>
      <c r="R33" s="17"/>
      <c r="S33" s="18" t="s">
        <v>110</v>
      </c>
    </row>
    <row r="34" spans="1:19" x14ac:dyDescent="0.25">
      <c r="A34" s="25">
        <v>27</v>
      </c>
      <c r="B34" s="26">
        <v>9</v>
      </c>
      <c r="C34" s="27">
        <v>46204</v>
      </c>
      <c r="D34" s="28" t="s">
        <v>748</v>
      </c>
      <c r="E34" s="26">
        <v>8</v>
      </c>
      <c r="F34" s="26">
        <v>20</v>
      </c>
      <c r="G34" s="17" t="s">
        <v>132</v>
      </c>
      <c r="H34" s="28" t="s">
        <v>49</v>
      </c>
      <c r="I34" s="17" t="s">
        <v>133</v>
      </c>
      <c r="J34" s="17" t="s">
        <v>134</v>
      </c>
      <c r="K34" s="17" t="s">
        <v>52</v>
      </c>
      <c r="L34" s="28" t="s">
        <v>749</v>
      </c>
      <c r="M34" s="17" t="s">
        <v>750</v>
      </c>
      <c r="N34" s="17" t="s">
        <v>766</v>
      </c>
      <c r="O34" s="28" t="s">
        <v>752</v>
      </c>
      <c r="P34" s="28" t="s">
        <v>7</v>
      </c>
      <c r="Q34" s="28" t="s">
        <v>7</v>
      </c>
      <c r="R34" s="17"/>
      <c r="S34" s="18" t="s">
        <v>136</v>
      </c>
    </row>
    <row r="35" spans="1:19" ht="30" x14ac:dyDescent="0.25">
      <c r="A35" s="25">
        <v>28</v>
      </c>
      <c r="B35" s="26">
        <v>9</v>
      </c>
      <c r="C35" s="27">
        <v>46204</v>
      </c>
      <c r="D35" s="28" t="s">
        <v>754</v>
      </c>
      <c r="E35" s="26">
        <v>6</v>
      </c>
      <c r="F35" s="26">
        <v>560</v>
      </c>
      <c r="G35" s="17" t="s">
        <v>116</v>
      </c>
      <c r="H35" s="28" t="s">
        <v>76</v>
      </c>
      <c r="I35" s="17" t="s">
        <v>117</v>
      </c>
      <c r="J35" s="17" t="s">
        <v>118</v>
      </c>
      <c r="K35" s="17" t="s">
        <v>119</v>
      </c>
      <c r="L35" s="28" t="s">
        <v>759</v>
      </c>
      <c r="M35" s="17" t="s">
        <v>767</v>
      </c>
      <c r="N35" s="17" t="s">
        <v>751</v>
      </c>
      <c r="O35" s="28" t="s">
        <v>756</v>
      </c>
      <c r="P35" s="28" t="s">
        <v>7</v>
      </c>
      <c r="Q35" s="28" t="s">
        <v>7</v>
      </c>
      <c r="R35" s="17"/>
      <c r="S35" s="18" t="s">
        <v>121</v>
      </c>
    </row>
    <row r="36" spans="1:19" ht="30" x14ac:dyDescent="0.25">
      <c r="A36" s="25">
        <v>29</v>
      </c>
      <c r="B36" s="26">
        <v>10</v>
      </c>
      <c r="C36" s="27">
        <v>46205</v>
      </c>
      <c r="D36" s="28" t="s">
        <v>763</v>
      </c>
      <c r="E36" s="26">
        <v>3</v>
      </c>
      <c r="F36" s="26">
        <v>383</v>
      </c>
      <c r="G36" s="17" t="s">
        <v>71</v>
      </c>
      <c r="H36" s="28" t="s">
        <v>49</v>
      </c>
      <c r="I36" s="17" t="s">
        <v>64</v>
      </c>
      <c r="J36" s="17" t="s">
        <v>72</v>
      </c>
      <c r="K36" s="17" t="s">
        <v>52</v>
      </c>
      <c r="L36" s="28" t="s">
        <v>749</v>
      </c>
      <c r="M36" s="17" t="s">
        <v>764</v>
      </c>
      <c r="N36" s="17" t="s">
        <v>751</v>
      </c>
      <c r="O36" s="28" t="s">
        <v>765</v>
      </c>
      <c r="P36" s="28" t="s">
        <v>19</v>
      </c>
      <c r="Q36" s="28" t="s">
        <v>7</v>
      </c>
      <c r="R36" s="17"/>
      <c r="S36" s="18" t="s">
        <v>74</v>
      </c>
    </row>
    <row r="37" spans="1:19" x14ac:dyDescent="0.25">
      <c r="A37" s="25">
        <v>30</v>
      </c>
      <c r="B37" s="26">
        <v>10</v>
      </c>
      <c r="C37" s="27">
        <v>46205</v>
      </c>
      <c r="D37" s="28" t="s">
        <v>748</v>
      </c>
      <c r="E37" s="26">
        <v>9</v>
      </c>
      <c r="F37" s="26">
        <v>496</v>
      </c>
      <c r="G37" s="17" t="s">
        <v>153</v>
      </c>
      <c r="H37" s="28" t="s">
        <v>49</v>
      </c>
      <c r="I37" s="17" t="s">
        <v>154</v>
      </c>
      <c r="J37" s="17" t="s">
        <v>155</v>
      </c>
      <c r="K37" s="17" t="s">
        <v>52</v>
      </c>
      <c r="L37" s="28" t="s">
        <v>749</v>
      </c>
      <c r="M37" s="17" t="s">
        <v>750</v>
      </c>
      <c r="N37" s="17" t="s">
        <v>766</v>
      </c>
      <c r="O37" s="28" t="s">
        <v>752</v>
      </c>
      <c r="P37" s="28" t="s">
        <v>7</v>
      </c>
      <c r="Q37" s="28" t="s">
        <v>7</v>
      </c>
      <c r="R37" s="17"/>
      <c r="S37" s="18" t="s">
        <v>157</v>
      </c>
    </row>
    <row r="38" spans="1:19" ht="30" x14ac:dyDescent="0.25">
      <c r="A38" s="25">
        <v>31</v>
      </c>
      <c r="B38" s="26">
        <v>10</v>
      </c>
      <c r="C38" s="27">
        <v>46205</v>
      </c>
      <c r="D38" s="28" t="s">
        <v>748</v>
      </c>
      <c r="E38" s="26">
        <v>9</v>
      </c>
      <c r="F38" s="26">
        <v>150</v>
      </c>
      <c r="G38" s="17" t="s">
        <v>149</v>
      </c>
      <c r="H38" s="28" t="s">
        <v>76</v>
      </c>
      <c r="I38" s="17" t="s">
        <v>133</v>
      </c>
      <c r="J38" s="17" t="s">
        <v>150</v>
      </c>
      <c r="K38" s="17" t="s">
        <v>52</v>
      </c>
      <c r="L38" s="28" t="s">
        <v>749</v>
      </c>
      <c r="M38" s="17" t="s">
        <v>750</v>
      </c>
      <c r="N38" s="17" t="s">
        <v>766</v>
      </c>
      <c r="O38" s="28" t="s">
        <v>752</v>
      </c>
      <c r="P38" s="28" t="s">
        <v>7</v>
      </c>
      <c r="Q38" s="28" t="s">
        <v>7</v>
      </c>
      <c r="R38" s="17"/>
      <c r="S38" s="18" t="s">
        <v>152</v>
      </c>
    </row>
    <row r="39" spans="1:19" ht="30" x14ac:dyDescent="0.25">
      <c r="A39" s="25">
        <v>32</v>
      </c>
      <c r="B39" s="26">
        <v>10</v>
      </c>
      <c r="C39" s="27">
        <v>46205</v>
      </c>
      <c r="D39" s="28" t="s">
        <v>763</v>
      </c>
      <c r="E39" s="26">
        <v>3</v>
      </c>
      <c r="F39" s="26">
        <v>49</v>
      </c>
      <c r="G39" s="17" t="s">
        <v>75</v>
      </c>
      <c r="H39" s="28" t="s">
        <v>76</v>
      </c>
      <c r="I39" s="17" t="s">
        <v>77</v>
      </c>
      <c r="J39" s="17" t="s">
        <v>78</v>
      </c>
      <c r="K39" s="17" t="s">
        <v>79</v>
      </c>
      <c r="L39" s="28" t="s">
        <v>759</v>
      </c>
      <c r="M39" s="17" t="s">
        <v>768</v>
      </c>
      <c r="N39" s="17" t="s">
        <v>751</v>
      </c>
      <c r="O39" s="28" t="s">
        <v>769</v>
      </c>
      <c r="P39" s="28" t="s">
        <v>19</v>
      </c>
      <c r="Q39" s="28" t="s">
        <v>7</v>
      </c>
      <c r="R39" s="17"/>
      <c r="S39" s="18" t="s">
        <v>82</v>
      </c>
    </row>
    <row r="40" spans="1:19" ht="30" x14ac:dyDescent="0.25">
      <c r="A40" s="25">
        <v>33</v>
      </c>
      <c r="B40" s="26">
        <v>10</v>
      </c>
      <c r="C40" s="27">
        <v>46205</v>
      </c>
      <c r="D40" s="28" t="s">
        <v>758</v>
      </c>
      <c r="E40" s="26">
        <v>8</v>
      </c>
      <c r="F40" s="26">
        <v>155</v>
      </c>
      <c r="G40" s="17" t="s">
        <v>138</v>
      </c>
      <c r="H40" s="28" t="s">
        <v>76</v>
      </c>
      <c r="I40" s="17" t="s">
        <v>133</v>
      </c>
      <c r="J40" s="17" t="s">
        <v>139</v>
      </c>
      <c r="K40" s="17" t="s">
        <v>79</v>
      </c>
      <c r="L40" s="28" t="s">
        <v>759</v>
      </c>
      <c r="M40" s="17" t="s">
        <v>760</v>
      </c>
      <c r="N40" s="17" t="s">
        <v>766</v>
      </c>
      <c r="O40" s="28" t="s">
        <v>761</v>
      </c>
      <c r="P40" s="28" t="s">
        <v>7</v>
      </c>
      <c r="Q40" s="28" t="s">
        <v>7</v>
      </c>
      <c r="R40" s="17"/>
      <c r="S40" s="18" t="s">
        <v>141</v>
      </c>
    </row>
    <row r="41" spans="1:19" x14ac:dyDescent="0.25">
      <c r="A41" s="25">
        <v>34</v>
      </c>
      <c r="B41" s="26">
        <v>11</v>
      </c>
      <c r="C41" s="27">
        <v>46206</v>
      </c>
      <c r="D41" s="28" t="s">
        <v>748</v>
      </c>
      <c r="E41" s="26">
        <v>10</v>
      </c>
      <c r="F41" s="26">
        <v>704</v>
      </c>
      <c r="G41" s="17" t="s">
        <v>163</v>
      </c>
      <c r="H41" s="28" t="s">
        <v>49</v>
      </c>
      <c r="I41" s="17" t="s">
        <v>163</v>
      </c>
      <c r="J41" s="17" t="s">
        <v>164</v>
      </c>
      <c r="K41" s="17" t="s">
        <v>52</v>
      </c>
      <c r="L41" s="28" t="s">
        <v>749</v>
      </c>
      <c r="M41" s="17" t="s">
        <v>750</v>
      </c>
      <c r="N41" s="17" t="s">
        <v>770</v>
      </c>
      <c r="O41" s="28" t="s">
        <v>752</v>
      </c>
      <c r="P41" s="28" t="s">
        <v>7</v>
      </c>
      <c r="Q41" s="28" t="s">
        <v>7</v>
      </c>
      <c r="R41" s="17"/>
      <c r="S41" s="18" t="s">
        <v>166</v>
      </c>
    </row>
    <row r="42" spans="1:19" x14ac:dyDescent="0.25">
      <c r="A42" s="25">
        <v>35</v>
      </c>
      <c r="B42" s="26">
        <v>11</v>
      </c>
      <c r="C42" s="27">
        <v>46206</v>
      </c>
      <c r="D42" s="28" t="s">
        <v>748</v>
      </c>
      <c r="E42" s="26">
        <v>10</v>
      </c>
      <c r="F42" s="26">
        <v>35</v>
      </c>
      <c r="G42" s="17" t="s">
        <v>167</v>
      </c>
      <c r="H42" s="28" t="s">
        <v>49</v>
      </c>
      <c r="I42" s="17" t="s">
        <v>163</v>
      </c>
      <c r="J42" s="17" t="s">
        <v>168</v>
      </c>
      <c r="K42" s="17" t="s">
        <v>52</v>
      </c>
      <c r="L42" s="28" t="s">
        <v>749</v>
      </c>
      <c r="M42" s="17" t="s">
        <v>750</v>
      </c>
      <c r="N42" s="17" t="s">
        <v>770</v>
      </c>
      <c r="O42" s="28" t="s">
        <v>752</v>
      </c>
      <c r="P42" s="28" t="s">
        <v>7</v>
      </c>
      <c r="Q42" s="28" t="s">
        <v>7</v>
      </c>
      <c r="R42" s="17"/>
      <c r="S42" s="18" t="s">
        <v>170</v>
      </c>
    </row>
    <row r="43" spans="1:19" ht="30" x14ac:dyDescent="0.25">
      <c r="A43" s="25">
        <v>36</v>
      </c>
      <c r="B43" s="26">
        <v>11</v>
      </c>
      <c r="C43" s="27">
        <v>46206</v>
      </c>
      <c r="D43" s="28" t="s">
        <v>754</v>
      </c>
      <c r="E43" s="26">
        <v>8</v>
      </c>
      <c r="F43" s="26">
        <v>20</v>
      </c>
      <c r="G43" s="17" t="s">
        <v>132</v>
      </c>
      <c r="H43" s="28" t="s">
        <v>49</v>
      </c>
      <c r="I43" s="17" t="s">
        <v>133</v>
      </c>
      <c r="J43" s="17" t="s">
        <v>134</v>
      </c>
      <c r="K43" s="17" t="s">
        <v>52</v>
      </c>
      <c r="L43" s="28" t="s">
        <v>749</v>
      </c>
      <c r="M43" s="17" t="s">
        <v>755</v>
      </c>
      <c r="N43" s="17" t="s">
        <v>766</v>
      </c>
      <c r="O43" s="28" t="s">
        <v>756</v>
      </c>
      <c r="P43" s="28" t="s">
        <v>7</v>
      </c>
      <c r="Q43" s="28" t="s">
        <v>7</v>
      </c>
      <c r="R43" s="17"/>
      <c r="S43" s="18" t="s">
        <v>136</v>
      </c>
    </row>
    <row r="44" spans="1:19" ht="30" x14ac:dyDescent="0.25">
      <c r="A44" s="25">
        <v>37</v>
      </c>
      <c r="B44" s="26">
        <v>11</v>
      </c>
      <c r="C44" s="27">
        <v>46206</v>
      </c>
      <c r="D44" s="28" t="s">
        <v>763</v>
      </c>
      <c r="E44" s="26">
        <v>4</v>
      </c>
      <c r="F44" s="26">
        <v>283</v>
      </c>
      <c r="G44" s="17" t="s">
        <v>83</v>
      </c>
      <c r="H44" s="28" t="s">
        <v>49</v>
      </c>
      <c r="I44" s="17" t="s">
        <v>84</v>
      </c>
      <c r="J44" s="17" t="s">
        <v>85</v>
      </c>
      <c r="K44" s="17" t="s">
        <v>52</v>
      </c>
      <c r="L44" s="28" t="s">
        <v>749</v>
      </c>
      <c r="M44" s="17" t="s">
        <v>764</v>
      </c>
      <c r="N44" s="17" t="s">
        <v>757</v>
      </c>
      <c r="O44" s="28" t="s">
        <v>765</v>
      </c>
      <c r="P44" s="28" t="s">
        <v>16</v>
      </c>
      <c r="Q44" s="28" t="s">
        <v>7</v>
      </c>
      <c r="R44" s="17"/>
      <c r="S44" s="18" t="s">
        <v>88</v>
      </c>
    </row>
    <row r="45" spans="1:19" ht="30" x14ac:dyDescent="0.25">
      <c r="A45" s="25">
        <v>38</v>
      </c>
      <c r="B45" s="26">
        <v>11</v>
      </c>
      <c r="C45" s="27">
        <v>46206</v>
      </c>
      <c r="D45" s="28" t="s">
        <v>763</v>
      </c>
      <c r="E45" s="26">
        <v>4</v>
      </c>
      <c r="F45" s="26">
        <v>27</v>
      </c>
      <c r="G45" s="17" t="s">
        <v>89</v>
      </c>
      <c r="H45" s="28" t="s">
        <v>49</v>
      </c>
      <c r="I45" s="17" t="s">
        <v>84</v>
      </c>
      <c r="J45" s="17" t="s">
        <v>85</v>
      </c>
      <c r="K45" s="17" t="s">
        <v>52</v>
      </c>
      <c r="L45" s="28" t="s">
        <v>749</v>
      </c>
      <c r="M45" s="17" t="s">
        <v>764</v>
      </c>
      <c r="N45" s="17" t="s">
        <v>757</v>
      </c>
      <c r="O45" s="28" t="s">
        <v>765</v>
      </c>
      <c r="P45" s="28" t="s">
        <v>16</v>
      </c>
      <c r="Q45" s="28" t="s">
        <v>7</v>
      </c>
      <c r="R45" s="17"/>
      <c r="S45" s="18" t="s">
        <v>91</v>
      </c>
    </row>
    <row r="46" spans="1:19" ht="30" x14ac:dyDescent="0.25">
      <c r="A46" s="25">
        <v>39</v>
      </c>
      <c r="B46" s="26">
        <v>11</v>
      </c>
      <c r="C46" s="27">
        <v>46206</v>
      </c>
      <c r="D46" s="28" t="s">
        <v>758</v>
      </c>
      <c r="E46" s="26">
        <v>9</v>
      </c>
      <c r="F46" s="26">
        <v>739</v>
      </c>
      <c r="G46" s="17" t="s">
        <v>158</v>
      </c>
      <c r="H46" s="28" t="s">
        <v>76</v>
      </c>
      <c r="I46" s="17" t="s">
        <v>154</v>
      </c>
      <c r="J46" s="17" t="s">
        <v>155</v>
      </c>
      <c r="K46" s="17" t="s">
        <v>79</v>
      </c>
      <c r="L46" s="28" t="s">
        <v>759</v>
      </c>
      <c r="M46" s="17" t="s">
        <v>760</v>
      </c>
      <c r="N46" s="17" t="s">
        <v>766</v>
      </c>
      <c r="O46" s="28" t="s">
        <v>761</v>
      </c>
      <c r="P46" s="28" t="s">
        <v>7</v>
      </c>
      <c r="Q46" s="28" t="s">
        <v>7</v>
      </c>
      <c r="R46" s="17"/>
      <c r="S46" s="18" t="s">
        <v>161</v>
      </c>
    </row>
    <row r="47" spans="1:19" x14ac:dyDescent="0.25">
      <c r="A47" s="25">
        <v>40</v>
      </c>
      <c r="B47" s="26">
        <v>12</v>
      </c>
      <c r="C47" s="27">
        <v>46207</v>
      </c>
      <c r="D47" s="28" t="s">
        <v>748</v>
      </c>
      <c r="E47" s="26">
        <v>11</v>
      </c>
      <c r="F47" s="26">
        <v>278</v>
      </c>
      <c r="G47" s="17" t="s">
        <v>176</v>
      </c>
      <c r="H47" s="28" t="s">
        <v>49</v>
      </c>
      <c r="I47" s="17" t="s">
        <v>163</v>
      </c>
      <c r="J47" s="17" t="s">
        <v>177</v>
      </c>
      <c r="K47" s="17" t="s">
        <v>52</v>
      </c>
      <c r="L47" s="28" t="s">
        <v>749</v>
      </c>
      <c r="M47" s="17" t="s">
        <v>750</v>
      </c>
      <c r="N47" s="17" t="s">
        <v>770</v>
      </c>
      <c r="O47" s="28" t="s">
        <v>752</v>
      </c>
      <c r="P47" s="28" t="s">
        <v>7</v>
      </c>
      <c r="Q47" s="28" t="s">
        <v>7</v>
      </c>
      <c r="R47" s="17"/>
      <c r="S47" s="18" t="s">
        <v>179</v>
      </c>
    </row>
    <row r="48" spans="1:19" ht="30" x14ac:dyDescent="0.25">
      <c r="A48" s="25">
        <v>41</v>
      </c>
      <c r="B48" s="26">
        <v>12</v>
      </c>
      <c r="C48" s="27">
        <v>46207</v>
      </c>
      <c r="D48" s="28" t="s">
        <v>754</v>
      </c>
      <c r="E48" s="26">
        <v>9</v>
      </c>
      <c r="F48" s="26">
        <v>496</v>
      </c>
      <c r="G48" s="17" t="s">
        <v>153</v>
      </c>
      <c r="H48" s="28" t="s">
        <v>49</v>
      </c>
      <c r="I48" s="17" t="s">
        <v>154</v>
      </c>
      <c r="J48" s="17" t="s">
        <v>155</v>
      </c>
      <c r="K48" s="17" t="s">
        <v>52</v>
      </c>
      <c r="L48" s="28" t="s">
        <v>749</v>
      </c>
      <c r="M48" s="17" t="s">
        <v>755</v>
      </c>
      <c r="N48" s="17" t="s">
        <v>766</v>
      </c>
      <c r="O48" s="28" t="s">
        <v>756</v>
      </c>
      <c r="P48" s="28" t="s">
        <v>7</v>
      </c>
      <c r="Q48" s="28" t="s">
        <v>7</v>
      </c>
      <c r="R48" s="17"/>
      <c r="S48" s="18" t="s">
        <v>157</v>
      </c>
    </row>
    <row r="49" spans="1:19" ht="30" x14ac:dyDescent="0.25">
      <c r="A49" s="25">
        <v>42</v>
      </c>
      <c r="B49" s="26">
        <v>12</v>
      </c>
      <c r="C49" s="27">
        <v>46207</v>
      </c>
      <c r="D49" s="28" t="s">
        <v>754</v>
      </c>
      <c r="E49" s="26">
        <v>9</v>
      </c>
      <c r="F49" s="26">
        <v>150</v>
      </c>
      <c r="G49" s="17" t="s">
        <v>149</v>
      </c>
      <c r="H49" s="28" t="s">
        <v>76</v>
      </c>
      <c r="I49" s="17" t="s">
        <v>133</v>
      </c>
      <c r="J49" s="17" t="s">
        <v>150</v>
      </c>
      <c r="K49" s="17" t="s">
        <v>52</v>
      </c>
      <c r="L49" s="28" t="s">
        <v>749</v>
      </c>
      <c r="M49" s="17" t="s">
        <v>755</v>
      </c>
      <c r="N49" s="17" t="s">
        <v>766</v>
      </c>
      <c r="O49" s="28" t="s">
        <v>756</v>
      </c>
      <c r="P49" s="28" t="s">
        <v>7</v>
      </c>
      <c r="Q49" s="28" t="s">
        <v>7</v>
      </c>
      <c r="R49" s="17"/>
      <c r="S49" s="18" t="s">
        <v>152</v>
      </c>
    </row>
    <row r="50" spans="1:19" ht="30" x14ac:dyDescent="0.25">
      <c r="A50" s="25">
        <v>43</v>
      </c>
      <c r="B50" s="26">
        <v>12</v>
      </c>
      <c r="C50" s="27">
        <v>46207</v>
      </c>
      <c r="D50" s="28" t="s">
        <v>763</v>
      </c>
      <c r="E50" s="26">
        <v>5</v>
      </c>
      <c r="F50" s="26">
        <v>125</v>
      </c>
      <c r="G50" s="17" t="s">
        <v>92</v>
      </c>
      <c r="H50" s="28" t="s">
        <v>49</v>
      </c>
      <c r="I50" s="17" t="s">
        <v>93</v>
      </c>
      <c r="J50" s="17" t="s">
        <v>94</v>
      </c>
      <c r="K50" s="17" t="s">
        <v>52</v>
      </c>
      <c r="L50" s="28" t="s">
        <v>749</v>
      </c>
      <c r="M50" s="17" t="s">
        <v>764</v>
      </c>
      <c r="N50" s="17" t="s">
        <v>757</v>
      </c>
      <c r="O50" s="28" t="s">
        <v>765</v>
      </c>
      <c r="P50" s="28" t="s">
        <v>19</v>
      </c>
      <c r="Q50" s="28" t="s">
        <v>7</v>
      </c>
      <c r="R50" s="17"/>
      <c r="S50" s="18" t="s">
        <v>98</v>
      </c>
    </row>
    <row r="51" spans="1:19" ht="30" x14ac:dyDescent="0.25">
      <c r="A51" s="25">
        <v>44</v>
      </c>
      <c r="B51" s="26">
        <v>12</v>
      </c>
      <c r="C51" s="27">
        <v>46207</v>
      </c>
      <c r="D51" s="28" t="s">
        <v>758</v>
      </c>
      <c r="E51" s="26">
        <v>10</v>
      </c>
      <c r="F51" s="26">
        <v>34</v>
      </c>
      <c r="G51" s="17" t="s">
        <v>171</v>
      </c>
      <c r="H51" s="28" t="s">
        <v>76</v>
      </c>
      <c r="I51" s="17" t="s">
        <v>163</v>
      </c>
      <c r="J51" s="17" t="s">
        <v>172</v>
      </c>
      <c r="K51" s="17" t="s">
        <v>79</v>
      </c>
      <c r="L51" s="28" t="s">
        <v>759</v>
      </c>
      <c r="M51" s="17" t="s">
        <v>760</v>
      </c>
      <c r="N51" s="17" t="s">
        <v>770</v>
      </c>
      <c r="O51" s="28" t="s">
        <v>761</v>
      </c>
      <c r="P51" s="28" t="s">
        <v>7</v>
      </c>
      <c r="Q51" s="28" t="s">
        <v>7</v>
      </c>
      <c r="R51" s="17"/>
      <c r="S51" s="18" t="s">
        <v>175</v>
      </c>
    </row>
    <row r="52" spans="1:19" ht="30" x14ac:dyDescent="0.25">
      <c r="A52" s="25">
        <v>45</v>
      </c>
      <c r="B52" s="26">
        <v>12</v>
      </c>
      <c r="C52" s="27">
        <v>46207</v>
      </c>
      <c r="D52" s="28" t="s">
        <v>763</v>
      </c>
      <c r="E52" s="26">
        <v>5</v>
      </c>
      <c r="F52" s="26">
        <v>167</v>
      </c>
      <c r="G52" s="17" t="s">
        <v>99</v>
      </c>
      <c r="H52" s="28" t="s">
        <v>76</v>
      </c>
      <c r="I52" s="17" t="s">
        <v>93</v>
      </c>
      <c r="J52" s="17" t="s">
        <v>94</v>
      </c>
      <c r="K52" s="17" t="s">
        <v>79</v>
      </c>
      <c r="L52" s="28" t="s">
        <v>759</v>
      </c>
      <c r="M52" s="17" t="s">
        <v>768</v>
      </c>
      <c r="N52" s="17" t="s">
        <v>757</v>
      </c>
      <c r="O52" s="28" t="s">
        <v>769</v>
      </c>
      <c r="P52" s="28" t="s">
        <v>19</v>
      </c>
      <c r="Q52" s="28" t="s">
        <v>7</v>
      </c>
      <c r="R52" s="17"/>
      <c r="S52" s="18" t="s">
        <v>101</v>
      </c>
    </row>
    <row r="53" spans="1:19" ht="30" x14ac:dyDescent="0.25">
      <c r="A53" s="25">
        <v>46</v>
      </c>
      <c r="B53" s="26">
        <v>12</v>
      </c>
      <c r="C53" s="27">
        <v>46207</v>
      </c>
      <c r="D53" s="28" t="s">
        <v>763</v>
      </c>
      <c r="E53" s="26">
        <v>5</v>
      </c>
      <c r="F53" s="26">
        <v>977</v>
      </c>
      <c r="G53" s="17" t="s">
        <v>102</v>
      </c>
      <c r="H53" s="28" t="s">
        <v>49</v>
      </c>
      <c r="I53" s="17" t="s">
        <v>93</v>
      </c>
      <c r="J53" s="17" t="s">
        <v>94</v>
      </c>
      <c r="K53" s="17" t="s">
        <v>103</v>
      </c>
      <c r="L53" s="28" t="s">
        <v>771</v>
      </c>
      <c r="M53" s="17" t="s">
        <v>772</v>
      </c>
      <c r="N53" s="17" t="s">
        <v>757</v>
      </c>
      <c r="O53" s="28" t="s">
        <v>765</v>
      </c>
      <c r="P53" s="28" t="s">
        <v>16</v>
      </c>
      <c r="Q53" s="28" t="s">
        <v>7</v>
      </c>
      <c r="R53" s="17"/>
      <c r="S53" s="18" t="s">
        <v>105</v>
      </c>
    </row>
    <row r="54" spans="1:19" ht="30" x14ac:dyDescent="0.25">
      <c r="A54" s="25">
        <v>47</v>
      </c>
      <c r="B54" s="26">
        <v>13</v>
      </c>
      <c r="C54" s="27">
        <v>46208</v>
      </c>
      <c r="D54" s="28" t="s">
        <v>754</v>
      </c>
      <c r="E54" s="26">
        <v>10</v>
      </c>
      <c r="F54" s="26">
        <v>704</v>
      </c>
      <c r="G54" s="17" t="s">
        <v>163</v>
      </c>
      <c r="H54" s="28" t="s">
        <v>49</v>
      </c>
      <c r="I54" s="17" t="s">
        <v>163</v>
      </c>
      <c r="J54" s="17" t="s">
        <v>164</v>
      </c>
      <c r="K54" s="17" t="s">
        <v>52</v>
      </c>
      <c r="L54" s="28" t="s">
        <v>749</v>
      </c>
      <c r="M54" s="17" t="s">
        <v>755</v>
      </c>
      <c r="N54" s="17" t="s">
        <v>770</v>
      </c>
      <c r="O54" s="28" t="s">
        <v>756</v>
      </c>
      <c r="P54" s="28" t="s">
        <v>7</v>
      </c>
      <c r="Q54" s="28" t="s">
        <v>7</v>
      </c>
      <c r="R54" s="17"/>
      <c r="S54" s="18" t="s">
        <v>166</v>
      </c>
    </row>
    <row r="55" spans="1:19" ht="30" x14ac:dyDescent="0.25">
      <c r="A55" s="25">
        <v>48</v>
      </c>
      <c r="B55" s="26">
        <v>13</v>
      </c>
      <c r="C55" s="27">
        <v>46208</v>
      </c>
      <c r="D55" s="28" t="s">
        <v>754</v>
      </c>
      <c r="E55" s="26">
        <v>10</v>
      </c>
      <c r="F55" s="26">
        <v>35</v>
      </c>
      <c r="G55" s="17" t="s">
        <v>167</v>
      </c>
      <c r="H55" s="28" t="s">
        <v>49</v>
      </c>
      <c r="I55" s="17" t="s">
        <v>163</v>
      </c>
      <c r="J55" s="17" t="s">
        <v>168</v>
      </c>
      <c r="K55" s="17" t="s">
        <v>52</v>
      </c>
      <c r="L55" s="28" t="s">
        <v>749</v>
      </c>
      <c r="M55" s="17" t="s">
        <v>755</v>
      </c>
      <c r="N55" s="17" t="s">
        <v>770</v>
      </c>
      <c r="O55" s="28" t="s">
        <v>756</v>
      </c>
      <c r="P55" s="28" t="s">
        <v>7</v>
      </c>
      <c r="Q55" s="28" t="s">
        <v>7</v>
      </c>
      <c r="R55" s="17"/>
      <c r="S55" s="18" t="s">
        <v>170</v>
      </c>
    </row>
    <row r="56" spans="1:19" ht="30" x14ac:dyDescent="0.25">
      <c r="A56" s="25">
        <v>49</v>
      </c>
      <c r="B56" s="26">
        <v>13</v>
      </c>
      <c r="C56" s="27">
        <v>46208</v>
      </c>
      <c r="D56" s="28" t="s">
        <v>748</v>
      </c>
      <c r="E56" s="26">
        <v>12</v>
      </c>
      <c r="F56" s="26">
        <v>141</v>
      </c>
      <c r="G56" s="17" t="s">
        <v>197</v>
      </c>
      <c r="H56" s="28" t="s">
        <v>49</v>
      </c>
      <c r="I56" s="17" t="s">
        <v>188</v>
      </c>
      <c r="J56" s="17" t="s">
        <v>198</v>
      </c>
      <c r="K56" s="17" t="s">
        <v>52</v>
      </c>
      <c r="L56" s="28" t="s">
        <v>749</v>
      </c>
      <c r="M56" s="17" t="s">
        <v>750</v>
      </c>
      <c r="N56" s="17" t="s">
        <v>757</v>
      </c>
      <c r="O56" s="28" t="s">
        <v>752</v>
      </c>
      <c r="P56" s="28" t="s">
        <v>7</v>
      </c>
      <c r="Q56" s="28" t="s">
        <v>7</v>
      </c>
      <c r="R56" s="17"/>
      <c r="S56" s="18" t="s">
        <v>200</v>
      </c>
    </row>
    <row r="57" spans="1:19" ht="30" x14ac:dyDescent="0.25">
      <c r="A57" s="25">
        <v>50</v>
      </c>
      <c r="B57" s="26">
        <v>13</v>
      </c>
      <c r="C57" s="27">
        <v>46208</v>
      </c>
      <c r="D57" s="28" t="s">
        <v>748</v>
      </c>
      <c r="E57" s="26">
        <v>12</v>
      </c>
      <c r="F57" s="26">
        <v>21</v>
      </c>
      <c r="G57" s="17" t="s">
        <v>193</v>
      </c>
      <c r="H57" s="28" t="s">
        <v>49</v>
      </c>
      <c r="I57" s="17" t="s">
        <v>188</v>
      </c>
      <c r="J57" s="17" t="s">
        <v>194</v>
      </c>
      <c r="K57" s="17" t="s">
        <v>52</v>
      </c>
      <c r="L57" s="28" t="s">
        <v>749</v>
      </c>
      <c r="M57" s="17" t="s">
        <v>750</v>
      </c>
      <c r="N57" s="17" t="s">
        <v>773</v>
      </c>
      <c r="O57" s="28" t="s">
        <v>752</v>
      </c>
      <c r="P57" s="28" t="s">
        <v>7</v>
      </c>
      <c r="Q57" s="28" t="s">
        <v>7</v>
      </c>
      <c r="R57" s="17"/>
      <c r="S57" s="18" t="s">
        <v>196</v>
      </c>
    </row>
    <row r="58" spans="1:19" ht="30" x14ac:dyDescent="0.25">
      <c r="A58" s="25">
        <v>51</v>
      </c>
      <c r="B58" s="26">
        <v>13</v>
      </c>
      <c r="C58" s="27">
        <v>46208</v>
      </c>
      <c r="D58" s="28" t="s">
        <v>748</v>
      </c>
      <c r="E58" s="26">
        <v>12</v>
      </c>
      <c r="F58" s="26">
        <v>206</v>
      </c>
      <c r="G58" s="17" t="s">
        <v>187</v>
      </c>
      <c r="H58" s="28" t="s">
        <v>49</v>
      </c>
      <c r="I58" s="17" t="s">
        <v>188</v>
      </c>
      <c r="J58" s="17" t="s">
        <v>189</v>
      </c>
      <c r="K58" s="17" t="s">
        <v>52</v>
      </c>
      <c r="L58" s="28" t="s">
        <v>749</v>
      </c>
      <c r="M58" s="17" t="s">
        <v>750</v>
      </c>
      <c r="N58" s="17" t="s">
        <v>757</v>
      </c>
      <c r="O58" s="28" t="s">
        <v>752</v>
      </c>
      <c r="P58" s="28" t="s">
        <v>7</v>
      </c>
      <c r="Q58" s="28" t="s">
        <v>7</v>
      </c>
      <c r="R58" s="17"/>
      <c r="S58" s="18" t="s">
        <v>191</v>
      </c>
    </row>
    <row r="59" spans="1:19" ht="30" x14ac:dyDescent="0.25">
      <c r="A59" s="25">
        <v>52</v>
      </c>
      <c r="B59" s="26">
        <v>13</v>
      </c>
      <c r="C59" s="27">
        <v>46208</v>
      </c>
      <c r="D59" s="28" t="s">
        <v>763</v>
      </c>
      <c r="E59" s="26">
        <v>6</v>
      </c>
      <c r="F59" s="26">
        <v>303</v>
      </c>
      <c r="G59" s="17" t="s">
        <v>111</v>
      </c>
      <c r="H59" s="28" t="s">
        <v>49</v>
      </c>
      <c r="I59" s="17" t="s">
        <v>107</v>
      </c>
      <c r="J59" s="17" t="s">
        <v>112</v>
      </c>
      <c r="K59" s="17" t="s">
        <v>52</v>
      </c>
      <c r="L59" s="28" t="s">
        <v>749</v>
      </c>
      <c r="M59" s="17" t="s">
        <v>764</v>
      </c>
      <c r="N59" s="17" t="s">
        <v>762</v>
      </c>
      <c r="O59" s="28" t="s">
        <v>765</v>
      </c>
      <c r="P59" s="28" t="s">
        <v>16</v>
      </c>
      <c r="Q59" s="28" t="s">
        <v>7</v>
      </c>
      <c r="R59" s="17"/>
      <c r="S59" s="18" t="s">
        <v>115</v>
      </c>
    </row>
    <row r="60" spans="1:19" ht="30" x14ac:dyDescent="0.25">
      <c r="A60" s="25">
        <v>53</v>
      </c>
      <c r="B60" s="26">
        <v>13</v>
      </c>
      <c r="C60" s="27">
        <v>46208</v>
      </c>
      <c r="D60" s="28" t="s">
        <v>763</v>
      </c>
      <c r="E60" s="26">
        <v>6</v>
      </c>
      <c r="F60" s="26">
        <v>1480</v>
      </c>
      <c r="G60" s="17" t="s">
        <v>106</v>
      </c>
      <c r="H60" s="28" t="s">
        <v>49</v>
      </c>
      <c r="I60" s="17" t="s">
        <v>107</v>
      </c>
      <c r="J60" s="17" t="s">
        <v>108</v>
      </c>
      <c r="K60" s="17" t="s">
        <v>52</v>
      </c>
      <c r="L60" s="28" t="s">
        <v>749</v>
      </c>
      <c r="M60" s="17" t="s">
        <v>764</v>
      </c>
      <c r="N60" s="17" t="s">
        <v>762</v>
      </c>
      <c r="O60" s="28" t="s">
        <v>765</v>
      </c>
      <c r="P60" s="28" t="s">
        <v>19</v>
      </c>
      <c r="Q60" s="28" t="s">
        <v>7</v>
      </c>
      <c r="R60" s="17"/>
      <c r="S60" s="18" t="s">
        <v>110</v>
      </c>
    </row>
    <row r="61" spans="1:19" ht="30" x14ac:dyDescent="0.25">
      <c r="A61" s="25">
        <v>54</v>
      </c>
      <c r="B61" s="26">
        <v>13</v>
      </c>
      <c r="C61" s="27">
        <v>46208</v>
      </c>
      <c r="D61" s="28" t="s">
        <v>758</v>
      </c>
      <c r="E61" s="26">
        <v>11</v>
      </c>
      <c r="F61" s="26">
        <v>153</v>
      </c>
      <c r="G61" s="17" t="s">
        <v>180</v>
      </c>
      <c r="H61" s="28" t="s">
        <v>76</v>
      </c>
      <c r="I61" s="17" t="s">
        <v>163</v>
      </c>
      <c r="J61" s="17" t="s">
        <v>181</v>
      </c>
      <c r="K61" s="17" t="s">
        <v>79</v>
      </c>
      <c r="L61" s="28" t="s">
        <v>759</v>
      </c>
      <c r="M61" s="17" t="s">
        <v>760</v>
      </c>
      <c r="N61" s="17" t="s">
        <v>770</v>
      </c>
      <c r="O61" s="28" t="s">
        <v>761</v>
      </c>
      <c r="P61" s="28" t="s">
        <v>7</v>
      </c>
      <c r="Q61" s="28" t="s">
        <v>7</v>
      </c>
      <c r="R61" s="17"/>
      <c r="S61" s="18" t="s">
        <v>183</v>
      </c>
    </row>
    <row r="62" spans="1:19" ht="30" x14ac:dyDescent="0.25">
      <c r="A62" s="25">
        <v>55</v>
      </c>
      <c r="B62" s="26">
        <v>14</v>
      </c>
      <c r="C62" s="27">
        <v>46209</v>
      </c>
      <c r="D62" s="28" t="s">
        <v>754</v>
      </c>
      <c r="E62" s="26">
        <v>11</v>
      </c>
      <c r="F62" s="26">
        <v>278</v>
      </c>
      <c r="G62" s="17" t="s">
        <v>176</v>
      </c>
      <c r="H62" s="28" t="s">
        <v>49</v>
      </c>
      <c r="I62" s="17" t="s">
        <v>163</v>
      </c>
      <c r="J62" s="17" t="s">
        <v>177</v>
      </c>
      <c r="K62" s="17" t="s">
        <v>52</v>
      </c>
      <c r="L62" s="28" t="s">
        <v>749</v>
      </c>
      <c r="M62" s="17" t="s">
        <v>755</v>
      </c>
      <c r="N62" s="17" t="s">
        <v>770</v>
      </c>
      <c r="O62" s="28" t="s">
        <v>756</v>
      </c>
      <c r="P62" s="28" t="s">
        <v>7</v>
      </c>
      <c r="Q62" s="28" t="s">
        <v>7</v>
      </c>
      <c r="R62" s="17"/>
      <c r="S62" s="18" t="s">
        <v>179</v>
      </c>
    </row>
    <row r="63" spans="1:19" ht="30" x14ac:dyDescent="0.25">
      <c r="A63" s="25">
        <v>56</v>
      </c>
      <c r="B63" s="26">
        <v>14</v>
      </c>
      <c r="C63" s="27">
        <v>46209</v>
      </c>
      <c r="D63" s="28" t="s">
        <v>748</v>
      </c>
      <c r="E63" s="26">
        <v>13</v>
      </c>
      <c r="F63" s="26">
        <v>876</v>
      </c>
      <c r="G63" s="17" t="s">
        <v>201</v>
      </c>
      <c r="H63" s="28" t="s">
        <v>49</v>
      </c>
      <c r="I63" s="17" t="s">
        <v>188</v>
      </c>
      <c r="J63" s="17" t="s">
        <v>198</v>
      </c>
      <c r="K63" s="17" t="s">
        <v>52</v>
      </c>
      <c r="L63" s="28" t="s">
        <v>749</v>
      </c>
      <c r="M63" s="17" t="s">
        <v>750</v>
      </c>
      <c r="N63" s="17" t="s">
        <v>757</v>
      </c>
      <c r="O63" s="28" t="s">
        <v>752</v>
      </c>
      <c r="P63" s="28" t="s">
        <v>7</v>
      </c>
      <c r="Q63" s="28" t="s">
        <v>7</v>
      </c>
      <c r="R63" s="17"/>
      <c r="S63" s="18" t="s">
        <v>203</v>
      </c>
    </row>
    <row r="64" spans="1:19" ht="30" x14ac:dyDescent="0.25">
      <c r="A64" s="25">
        <v>57</v>
      </c>
      <c r="B64" s="26">
        <v>14</v>
      </c>
      <c r="C64" s="27">
        <v>46209</v>
      </c>
      <c r="D64" s="28" t="s">
        <v>754</v>
      </c>
      <c r="E64" s="26">
        <v>11</v>
      </c>
      <c r="F64" s="26">
        <v>33</v>
      </c>
      <c r="G64" s="17" t="s">
        <v>184</v>
      </c>
      <c r="H64" s="28" t="s">
        <v>76</v>
      </c>
      <c r="I64" s="17" t="s">
        <v>163</v>
      </c>
      <c r="J64" s="17" t="s">
        <v>181</v>
      </c>
      <c r="K64" s="17" t="s">
        <v>119</v>
      </c>
      <c r="L64" s="28" t="s">
        <v>759</v>
      </c>
      <c r="M64" s="17" t="s">
        <v>767</v>
      </c>
      <c r="N64" s="17" t="s">
        <v>770</v>
      </c>
      <c r="O64" s="28" t="s">
        <v>756</v>
      </c>
      <c r="P64" s="28" t="s">
        <v>7</v>
      </c>
      <c r="Q64" s="28" t="s">
        <v>7</v>
      </c>
      <c r="R64" s="17"/>
      <c r="S64" s="18" t="s">
        <v>186</v>
      </c>
    </row>
    <row r="65" spans="1:19" ht="30" x14ac:dyDescent="0.25">
      <c r="A65" s="25">
        <v>58</v>
      </c>
      <c r="B65" s="26">
        <v>15</v>
      </c>
      <c r="C65" s="27">
        <v>46210</v>
      </c>
      <c r="D65" s="28" t="s">
        <v>754</v>
      </c>
      <c r="E65" s="26">
        <v>12</v>
      </c>
      <c r="F65" s="26">
        <v>141</v>
      </c>
      <c r="G65" s="17" t="s">
        <v>197</v>
      </c>
      <c r="H65" s="28" t="s">
        <v>49</v>
      </c>
      <c r="I65" s="17" t="s">
        <v>188</v>
      </c>
      <c r="J65" s="17" t="s">
        <v>198</v>
      </c>
      <c r="K65" s="17" t="s">
        <v>52</v>
      </c>
      <c r="L65" s="28" t="s">
        <v>749</v>
      </c>
      <c r="M65" s="17" t="s">
        <v>755</v>
      </c>
      <c r="N65" s="17" t="s">
        <v>757</v>
      </c>
      <c r="O65" s="28" t="s">
        <v>756</v>
      </c>
      <c r="P65" s="28" t="s">
        <v>7</v>
      </c>
      <c r="Q65" s="28" t="s">
        <v>7</v>
      </c>
      <c r="R65" s="17"/>
      <c r="S65" s="18" t="s">
        <v>200</v>
      </c>
    </row>
    <row r="66" spans="1:19" ht="30" x14ac:dyDescent="0.25">
      <c r="A66" s="25">
        <v>59</v>
      </c>
      <c r="B66" s="26">
        <v>15</v>
      </c>
      <c r="C66" s="27">
        <v>46210</v>
      </c>
      <c r="D66" s="28" t="s">
        <v>754</v>
      </c>
      <c r="E66" s="26">
        <v>12</v>
      </c>
      <c r="F66" s="26">
        <v>21</v>
      </c>
      <c r="G66" s="17" t="s">
        <v>193</v>
      </c>
      <c r="H66" s="28" t="s">
        <v>49</v>
      </c>
      <c r="I66" s="17" t="s">
        <v>188</v>
      </c>
      <c r="J66" s="17" t="s">
        <v>194</v>
      </c>
      <c r="K66" s="17" t="s">
        <v>52</v>
      </c>
      <c r="L66" s="28" t="s">
        <v>749</v>
      </c>
      <c r="M66" s="17" t="s">
        <v>755</v>
      </c>
      <c r="N66" s="17" t="s">
        <v>773</v>
      </c>
      <c r="O66" s="28" t="s">
        <v>756</v>
      </c>
      <c r="P66" s="28" t="s">
        <v>7</v>
      </c>
      <c r="Q66" s="28" t="s">
        <v>7</v>
      </c>
      <c r="R66" s="17"/>
      <c r="S66" s="18" t="s">
        <v>196</v>
      </c>
    </row>
    <row r="67" spans="1:19" ht="30" x14ac:dyDescent="0.25">
      <c r="A67" s="25">
        <v>60</v>
      </c>
      <c r="B67" s="26">
        <v>15</v>
      </c>
      <c r="C67" s="27">
        <v>46210</v>
      </c>
      <c r="D67" s="28" t="s">
        <v>754</v>
      </c>
      <c r="E67" s="26">
        <v>12</v>
      </c>
      <c r="F67" s="26">
        <v>206</v>
      </c>
      <c r="G67" s="17" t="s">
        <v>187</v>
      </c>
      <c r="H67" s="28" t="s">
        <v>49</v>
      </c>
      <c r="I67" s="17" t="s">
        <v>188</v>
      </c>
      <c r="J67" s="17" t="s">
        <v>189</v>
      </c>
      <c r="K67" s="17" t="s">
        <v>52</v>
      </c>
      <c r="L67" s="28" t="s">
        <v>749</v>
      </c>
      <c r="M67" s="17" t="s">
        <v>755</v>
      </c>
      <c r="N67" s="17" t="s">
        <v>757</v>
      </c>
      <c r="O67" s="28" t="s">
        <v>756</v>
      </c>
      <c r="P67" s="28" t="s">
        <v>7</v>
      </c>
      <c r="Q67" s="28" t="s">
        <v>7</v>
      </c>
      <c r="R67" s="17"/>
      <c r="S67" s="18" t="s">
        <v>191</v>
      </c>
    </row>
    <row r="68" spans="1:19" ht="30" x14ac:dyDescent="0.25">
      <c r="A68" s="25">
        <v>61</v>
      </c>
      <c r="B68" s="26">
        <v>15</v>
      </c>
      <c r="C68" s="27">
        <v>46210</v>
      </c>
      <c r="D68" s="28" t="s">
        <v>763</v>
      </c>
      <c r="E68" s="26">
        <v>8</v>
      </c>
      <c r="F68" s="26">
        <v>20</v>
      </c>
      <c r="G68" s="17" t="s">
        <v>132</v>
      </c>
      <c r="H68" s="28" t="s">
        <v>49</v>
      </c>
      <c r="I68" s="17" t="s">
        <v>133</v>
      </c>
      <c r="J68" s="17" t="s">
        <v>134</v>
      </c>
      <c r="K68" s="17" t="s">
        <v>52</v>
      </c>
      <c r="L68" s="28" t="s">
        <v>749</v>
      </c>
      <c r="M68" s="17" t="s">
        <v>764</v>
      </c>
      <c r="N68" s="17" t="s">
        <v>766</v>
      </c>
      <c r="O68" s="28" t="s">
        <v>765</v>
      </c>
      <c r="P68" s="28" t="s">
        <v>7</v>
      </c>
      <c r="Q68" s="28" t="s">
        <v>7</v>
      </c>
      <c r="R68" s="17"/>
      <c r="S68" s="18" t="s">
        <v>136</v>
      </c>
    </row>
    <row r="69" spans="1:19" ht="30" x14ac:dyDescent="0.25">
      <c r="A69" s="25">
        <v>62</v>
      </c>
      <c r="B69" s="26">
        <v>15</v>
      </c>
      <c r="C69" s="27">
        <v>46210</v>
      </c>
      <c r="D69" s="28" t="s">
        <v>758</v>
      </c>
      <c r="E69" s="26">
        <v>13</v>
      </c>
      <c r="F69" s="26">
        <v>19</v>
      </c>
      <c r="G69" s="17" t="s">
        <v>204</v>
      </c>
      <c r="H69" s="28" t="s">
        <v>76</v>
      </c>
      <c r="I69" s="17" t="s">
        <v>188</v>
      </c>
      <c r="J69" s="17" t="s">
        <v>205</v>
      </c>
      <c r="K69" s="17" t="s">
        <v>79</v>
      </c>
      <c r="L69" s="28" t="s">
        <v>759</v>
      </c>
      <c r="M69" s="17" t="s">
        <v>760</v>
      </c>
      <c r="N69" s="17" t="s">
        <v>757</v>
      </c>
      <c r="O69" s="28" t="s">
        <v>761</v>
      </c>
      <c r="P69" s="28" t="s">
        <v>7</v>
      </c>
      <c r="Q69" s="28" t="s">
        <v>7</v>
      </c>
      <c r="R69" s="17"/>
      <c r="S69" s="18" t="s">
        <v>207</v>
      </c>
    </row>
    <row r="70" spans="1:19" ht="30" x14ac:dyDescent="0.25">
      <c r="A70" s="25">
        <v>63</v>
      </c>
      <c r="B70" s="26">
        <v>15</v>
      </c>
      <c r="C70" s="27">
        <v>46210</v>
      </c>
      <c r="D70" s="28" t="s">
        <v>763</v>
      </c>
      <c r="E70" s="26">
        <v>8</v>
      </c>
      <c r="F70" s="26">
        <v>155</v>
      </c>
      <c r="G70" s="17" t="s">
        <v>138</v>
      </c>
      <c r="H70" s="28" t="s">
        <v>76</v>
      </c>
      <c r="I70" s="17" t="s">
        <v>133</v>
      </c>
      <c r="J70" s="17" t="s">
        <v>139</v>
      </c>
      <c r="K70" s="17" t="s">
        <v>79</v>
      </c>
      <c r="L70" s="28" t="s">
        <v>759</v>
      </c>
      <c r="M70" s="17" t="s">
        <v>768</v>
      </c>
      <c r="N70" s="17" t="s">
        <v>766</v>
      </c>
      <c r="O70" s="28" t="s">
        <v>769</v>
      </c>
      <c r="P70" s="28" t="s">
        <v>7</v>
      </c>
      <c r="Q70" s="28" t="s">
        <v>7</v>
      </c>
      <c r="R70" s="17"/>
      <c r="S70" s="18" t="s">
        <v>141</v>
      </c>
    </row>
    <row r="71" spans="1:19" ht="30" x14ac:dyDescent="0.25">
      <c r="A71" s="25">
        <v>64</v>
      </c>
      <c r="B71" s="26">
        <v>15</v>
      </c>
      <c r="C71" s="27">
        <v>46210</v>
      </c>
      <c r="D71" s="28" t="s">
        <v>763</v>
      </c>
      <c r="E71" s="26">
        <v>8</v>
      </c>
      <c r="F71" s="26">
        <v>232</v>
      </c>
      <c r="G71" s="17" t="s">
        <v>143</v>
      </c>
      <c r="H71" s="28" t="s">
        <v>49</v>
      </c>
      <c r="I71" s="17" t="s">
        <v>144</v>
      </c>
      <c r="J71" s="17" t="s">
        <v>145</v>
      </c>
      <c r="K71" s="17" t="s">
        <v>103</v>
      </c>
      <c r="L71" s="28" t="s">
        <v>771</v>
      </c>
      <c r="M71" s="17" t="s">
        <v>772</v>
      </c>
      <c r="N71" s="17" t="s">
        <v>766</v>
      </c>
      <c r="O71" s="28" t="s">
        <v>765</v>
      </c>
      <c r="P71" s="28" t="s">
        <v>7</v>
      </c>
      <c r="Q71" s="28" t="s">
        <v>7</v>
      </c>
      <c r="R71" s="17"/>
      <c r="S71" s="18" t="s">
        <v>147</v>
      </c>
    </row>
    <row r="72" spans="1:19" ht="30" x14ac:dyDescent="0.25">
      <c r="A72" s="25">
        <v>65</v>
      </c>
      <c r="B72" s="26">
        <v>16</v>
      </c>
      <c r="C72" s="27">
        <v>46211</v>
      </c>
      <c r="D72" s="28" t="s">
        <v>754</v>
      </c>
      <c r="E72" s="26">
        <v>13</v>
      </c>
      <c r="F72" s="26">
        <v>876</v>
      </c>
      <c r="G72" s="17" t="s">
        <v>201</v>
      </c>
      <c r="H72" s="28" t="s">
        <v>49</v>
      </c>
      <c r="I72" s="17" t="s">
        <v>188</v>
      </c>
      <c r="J72" s="17" t="s">
        <v>198</v>
      </c>
      <c r="K72" s="17" t="s">
        <v>52</v>
      </c>
      <c r="L72" s="28" t="s">
        <v>749</v>
      </c>
      <c r="M72" s="17" t="s">
        <v>755</v>
      </c>
      <c r="N72" s="17" t="s">
        <v>757</v>
      </c>
      <c r="O72" s="28" t="s">
        <v>756</v>
      </c>
      <c r="P72" s="28" t="s">
        <v>7</v>
      </c>
      <c r="Q72" s="28" t="s">
        <v>7</v>
      </c>
      <c r="R72" s="17"/>
      <c r="S72" s="18" t="s">
        <v>203</v>
      </c>
    </row>
    <row r="73" spans="1:19" ht="30" x14ac:dyDescent="0.25">
      <c r="A73" s="25">
        <v>66</v>
      </c>
      <c r="B73" s="26">
        <v>16</v>
      </c>
      <c r="C73" s="27">
        <v>46211</v>
      </c>
      <c r="D73" s="28" t="s">
        <v>763</v>
      </c>
      <c r="E73" s="26">
        <v>9</v>
      </c>
      <c r="F73" s="26">
        <v>496</v>
      </c>
      <c r="G73" s="17" t="s">
        <v>153</v>
      </c>
      <c r="H73" s="28" t="s">
        <v>49</v>
      </c>
      <c r="I73" s="17" t="s">
        <v>154</v>
      </c>
      <c r="J73" s="17" t="s">
        <v>155</v>
      </c>
      <c r="K73" s="17" t="s">
        <v>52</v>
      </c>
      <c r="L73" s="28" t="s">
        <v>749</v>
      </c>
      <c r="M73" s="17" t="s">
        <v>764</v>
      </c>
      <c r="N73" s="17" t="s">
        <v>766</v>
      </c>
      <c r="O73" s="28" t="s">
        <v>765</v>
      </c>
      <c r="P73" s="28" t="s">
        <v>7</v>
      </c>
      <c r="Q73" s="28" t="s">
        <v>7</v>
      </c>
      <c r="R73" s="17"/>
      <c r="S73" s="18" t="s">
        <v>157</v>
      </c>
    </row>
    <row r="74" spans="1:19" ht="30" x14ac:dyDescent="0.25">
      <c r="A74" s="25">
        <v>67</v>
      </c>
      <c r="B74" s="26">
        <v>16</v>
      </c>
      <c r="C74" s="27">
        <v>46211</v>
      </c>
      <c r="D74" s="28" t="s">
        <v>763</v>
      </c>
      <c r="E74" s="26">
        <v>9</v>
      </c>
      <c r="F74" s="26">
        <v>150</v>
      </c>
      <c r="G74" s="17" t="s">
        <v>149</v>
      </c>
      <c r="H74" s="28" t="s">
        <v>76</v>
      </c>
      <c r="I74" s="17" t="s">
        <v>133</v>
      </c>
      <c r="J74" s="17" t="s">
        <v>150</v>
      </c>
      <c r="K74" s="17" t="s">
        <v>52</v>
      </c>
      <c r="L74" s="28" t="s">
        <v>749</v>
      </c>
      <c r="M74" s="17" t="s">
        <v>764</v>
      </c>
      <c r="N74" s="17" t="s">
        <v>766</v>
      </c>
      <c r="O74" s="28" t="s">
        <v>765</v>
      </c>
      <c r="P74" s="28" t="s">
        <v>7</v>
      </c>
      <c r="Q74" s="28" t="s">
        <v>7</v>
      </c>
      <c r="R74" s="17"/>
      <c r="S74" s="18" t="s">
        <v>152</v>
      </c>
    </row>
    <row r="75" spans="1:19" ht="30" x14ac:dyDescent="0.25">
      <c r="A75" s="25">
        <v>68</v>
      </c>
      <c r="B75" s="26">
        <v>16</v>
      </c>
      <c r="C75" s="27">
        <v>46211</v>
      </c>
      <c r="D75" s="28" t="s">
        <v>748</v>
      </c>
      <c r="E75" s="26">
        <v>15</v>
      </c>
      <c r="F75" s="26">
        <v>104</v>
      </c>
      <c r="G75" s="17" t="s">
        <v>215</v>
      </c>
      <c r="H75" s="28" t="s">
        <v>49</v>
      </c>
      <c r="I75" s="17" t="s">
        <v>216</v>
      </c>
      <c r="J75" s="17" t="s">
        <v>217</v>
      </c>
      <c r="K75" s="17" t="s">
        <v>52</v>
      </c>
      <c r="L75" s="28" t="s">
        <v>749</v>
      </c>
      <c r="M75" s="17" t="s">
        <v>750</v>
      </c>
      <c r="N75" s="17" t="s">
        <v>774</v>
      </c>
      <c r="O75" s="28" t="s">
        <v>752</v>
      </c>
      <c r="P75" s="28" t="s">
        <v>7</v>
      </c>
      <c r="Q75" s="28" t="s">
        <v>7</v>
      </c>
      <c r="R75" s="17"/>
      <c r="S75" s="18" t="s">
        <v>219</v>
      </c>
    </row>
    <row r="76" spans="1:19" ht="30" x14ac:dyDescent="0.25">
      <c r="A76" s="25">
        <v>69</v>
      </c>
      <c r="B76" s="26">
        <v>16</v>
      </c>
      <c r="C76" s="27">
        <v>46211</v>
      </c>
      <c r="D76" s="28" t="s">
        <v>748</v>
      </c>
      <c r="E76" s="26">
        <v>15</v>
      </c>
      <c r="F76" s="26">
        <v>100</v>
      </c>
      <c r="G76" s="17" t="s">
        <v>220</v>
      </c>
      <c r="H76" s="28" t="s">
        <v>49</v>
      </c>
      <c r="I76" s="17" t="s">
        <v>216</v>
      </c>
      <c r="J76" s="17" t="s">
        <v>221</v>
      </c>
      <c r="K76" s="17" t="s">
        <v>52</v>
      </c>
      <c r="L76" s="28" t="s">
        <v>749</v>
      </c>
      <c r="M76" s="17" t="s">
        <v>750</v>
      </c>
      <c r="N76" s="17" t="s">
        <v>774</v>
      </c>
      <c r="O76" s="28" t="s">
        <v>752</v>
      </c>
      <c r="P76" s="28" t="s">
        <v>7</v>
      </c>
      <c r="Q76" s="28" t="s">
        <v>7</v>
      </c>
      <c r="R76" s="17"/>
      <c r="S76" s="18" t="s">
        <v>223</v>
      </c>
    </row>
    <row r="77" spans="1:19" ht="30" x14ac:dyDescent="0.25">
      <c r="A77" s="25">
        <v>70</v>
      </c>
      <c r="B77" s="26">
        <v>16</v>
      </c>
      <c r="C77" s="27">
        <v>46211</v>
      </c>
      <c r="D77" s="28" t="s">
        <v>763</v>
      </c>
      <c r="E77" s="26">
        <v>9</v>
      </c>
      <c r="F77" s="26">
        <v>739</v>
      </c>
      <c r="G77" s="17" t="s">
        <v>158</v>
      </c>
      <c r="H77" s="28" t="s">
        <v>76</v>
      </c>
      <c r="I77" s="17" t="s">
        <v>154</v>
      </c>
      <c r="J77" s="17" t="s">
        <v>155</v>
      </c>
      <c r="K77" s="17" t="s">
        <v>79</v>
      </c>
      <c r="L77" s="28" t="s">
        <v>759</v>
      </c>
      <c r="M77" s="17" t="s">
        <v>768</v>
      </c>
      <c r="N77" s="17" t="s">
        <v>766</v>
      </c>
      <c r="O77" s="28" t="s">
        <v>769</v>
      </c>
      <c r="P77" s="28" t="s">
        <v>7</v>
      </c>
      <c r="Q77" s="28" t="s">
        <v>7</v>
      </c>
      <c r="R77" s="17"/>
      <c r="S77" s="18" t="s">
        <v>161</v>
      </c>
    </row>
    <row r="78" spans="1:19" ht="30" x14ac:dyDescent="0.25">
      <c r="A78" s="25">
        <v>71</v>
      </c>
      <c r="B78" s="26">
        <v>16</v>
      </c>
      <c r="C78" s="27">
        <v>46211</v>
      </c>
      <c r="D78" s="28" t="s">
        <v>775</v>
      </c>
      <c r="E78" s="26">
        <v>6</v>
      </c>
      <c r="F78" s="26">
        <v>560</v>
      </c>
      <c r="G78" s="17" t="s">
        <v>116</v>
      </c>
      <c r="H78" s="28" t="s">
        <v>76</v>
      </c>
      <c r="I78" s="17" t="s">
        <v>117</v>
      </c>
      <c r="J78" s="17" t="s">
        <v>118</v>
      </c>
      <c r="K78" s="17" t="s">
        <v>119</v>
      </c>
      <c r="L78" s="28" t="s">
        <v>759</v>
      </c>
      <c r="M78" s="17" t="s">
        <v>776</v>
      </c>
      <c r="N78" s="17" t="s">
        <v>751</v>
      </c>
      <c r="O78" s="28" t="s">
        <v>777</v>
      </c>
      <c r="P78" s="28" t="s">
        <v>7</v>
      </c>
      <c r="Q78" s="28" t="s">
        <v>7</v>
      </c>
      <c r="R78" s="17"/>
      <c r="S78" s="18" t="s">
        <v>121</v>
      </c>
    </row>
    <row r="79" spans="1:19" ht="30" x14ac:dyDescent="0.25">
      <c r="A79" s="25">
        <v>72</v>
      </c>
      <c r="B79" s="26">
        <v>17</v>
      </c>
      <c r="C79" s="27">
        <v>46212</v>
      </c>
      <c r="D79" s="28" t="s">
        <v>763</v>
      </c>
      <c r="E79" s="26">
        <v>10</v>
      </c>
      <c r="F79" s="26">
        <v>704</v>
      </c>
      <c r="G79" s="17" t="s">
        <v>163</v>
      </c>
      <c r="H79" s="28" t="s">
        <v>49</v>
      </c>
      <c r="I79" s="17" t="s">
        <v>163</v>
      </c>
      <c r="J79" s="17" t="s">
        <v>164</v>
      </c>
      <c r="K79" s="17" t="s">
        <v>52</v>
      </c>
      <c r="L79" s="28" t="s">
        <v>749</v>
      </c>
      <c r="M79" s="17" t="s">
        <v>764</v>
      </c>
      <c r="N79" s="17" t="s">
        <v>770</v>
      </c>
      <c r="O79" s="28" t="s">
        <v>765</v>
      </c>
      <c r="P79" s="28" t="s">
        <v>7</v>
      </c>
      <c r="Q79" s="28" t="s">
        <v>7</v>
      </c>
      <c r="R79" s="17"/>
      <c r="S79" s="18" t="s">
        <v>166</v>
      </c>
    </row>
    <row r="80" spans="1:19" ht="30" x14ac:dyDescent="0.25">
      <c r="A80" s="25">
        <v>73</v>
      </c>
      <c r="B80" s="26">
        <v>17</v>
      </c>
      <c r="C80" s="27">
        <v>46212</v>
      </c>
      <c r="D80" s="28" t="s">
        <v>763</v>
      </c>
      <c r="E80" s="26">
        <v>10</v>
      </c>
      <c r="F80" s="26">
        <v>35</v>
      </c>
      <c r="G80" s="17" t="s">
        <v>167</v>
      </c>
      <c r="H80" s="28" t="s">
        <v>49</v>
      </c>
      <c r="I80" s="17" t="s">
        <v>163</v>
      </c>
      <c r="J80" s="17" t="s">
        <v>168</v>
      </c>
      <c r="K80" s="17" t="s">
        <v>52</v>
      </c>
      <c r="L80" s="28" t="s">
        <v>749</v>
      </c>
      <c r="M80" s="17" t="s">
        <v>764</v>
      </c>
      <c r="N80" s="17" t="s">
        <v>770</v>
      </c>
      <c r="O80" s="28" t="s">
        <v>765</v>
      </c>
      <c r="P80" s="28" t="s">
        <v>7</v>
      </c>
      <c r="Q80" s="28" t="s">
        <v>7</v>
      </c>
      <c r="R80" s="17"/>
      <c r="S80" s="18" t="s">
        <v>170</v>
      </c>
    </row>
    <row r="81" spans="1:19" ht="30" x14ac:dyDescent="0.25">
      <c r="A81" s="25">
        <v>74</v>
      </c>
      <c r="B81" s="26">
        <v>17</v>
      </c>
      <c r="C81" s="27">
        <v>46212</v>
      </c>
      <c r="D81" s="28" t="s">
        <v>748</v>
      </c>
      <c r="E81" s="26">
        <v>16</v>
      </c>
      <c r="F81" s="26">
        <v>226</v>
      </c>
      <c r="G81" s="17" t="s">
        <v>229</v>
      </c>
      <c r="H81" s="28" t="s">
        <v>49</v>
      </c>
      <c r="I81" s="17" t="s">
        <v>216</v>
      </c>
      <c r="J81" s="17" t="s">
        <v>230</v>
      </c>
      <c r="K81" s="17" t="s">
        <v>52</v>
      </c>
      <c r="L81" s="28" t="s">
        <v>749</v>
      </c>
      <c r="M81" s="17" t="s">
        <v>750</v>
      </c>
      <c r="N81" s="17" t="s">
        <v>774</v>
      </c>
      <c r="O81" s="28" t="s">
        <v>752</v>
      </c>
      <c r="P81" s="28" t="s">
        <v>7</v>
      </c>
      <c r="Q81" s="28" t="s">
        <v>7</v>
      </c>
      <c r="R81" s="17"/>
      <c r="S81" s="18" t="s">
        <v>232</v>
      </c>
    </row>
    <row r="82" spans="1:19" ht="30" x14ac:dyDescent="0.25">
      <c r="A82" s="25">
        <v>75</v>
      </c>
      <c r="B82" s="26">
        <v>17</v>
      </c>
      <c r="C82" s="27">
        <v>46212</v>
      </c>
      <c r="D82" s="28" t="s">
        <v>748</v>
      </c>
      <c r="E82" s="26">
        <v>16</v>
      </c>
      <c r="F82" s="26">
        <v>112</v>
      </c>
      <c r="G82" s="17" t="s">
        <v>233</v>
      </c>
      <c r="H82" s="28" t="s">
        <v>49</v>
      </c>
      <c r="I82" s="17" t="s">
        <v>216</v>
      </c>
      <c r="J82" s="17" t="s">
        <v>234</v>
      </c>
      <c r="K82" s="17" t="s">
        <v>52</v>
      </c>
      <c r="L82" s="28" t="s">
        <v>749</v>
      </c>
      <c r="M82" s="17" t="s">
        <v>750</v>
      </c>
      <c r="N82" s="17" t="s">
        <v>774</v>
      </c>
      <c r="O82" s="28" t="s">
        <v>752</v>
      </c>
      <c r="P82" s="28" t="s">
        <v>7</v>
      </c>
      <c r="Q82" s="28" t="s">
        <v>7</v>
      </c>
      <c r="R82" s="17"/>
      <c r="S82" s="18" t="s">
        <v>236</v>
      </c>
    </row>
    <row r="83" spans="1:19" ht="30" x14ac:dyDescent="0.25">
      <c r="A83" s="25">
        <v>76</v>
      </c>
      <c r="B83" s="26">
        <v>17</v>
      </c>
      <c r="C83" s="27">
        <v>46212</v>
      </c>
      <c r="D83" s="28" t="s">
        <v>763</v>
      </c>
      <c r="E83" s="26">
        <v>10</v>
      </c>
      <c r="F83" s="26">
        <v>34</v>
      </c>
      <c r="G83" s="17" t="s">
        <v>171</v>
      </c>
      <c r="H83" s="28" t="s">
        <v>76</v>
      </c>
      <c r="I83" s="17" t="s">
        <v>163</v>
      </c>
      <c r="J83" s="17" t="s">
        <v>172</v>
      </c>
      <c r="K83" s="17" t="s">
        <v>79</v>
      </c>
      <c r="L83" s="28" t="s">
        <v>759</v>
      </c>
      <c r="M83" s="17" t="s">
        <v>768</v>
      </c>
      <c r="N83" s="17" t="s">
        <v>770</v>
      </c>
      <c r="O83" s="28" t="s">
        <v>769</v>
      </c>
      <c r="P83" s="28" t="s">
        <v>7</v>
      </c>
      <c r="Q83" s="28" t="s">
        <v>7</v>
      </c>
      <c r="R83" s="17"/>
      <c r="S83" s="18" t="s">
        <v>175</v>
      </c>
    </row>
    <row r="84" spans="1:19" ht="30" x14ac:dyDescent="0.25">
      <c r="A84" s="25">
        <v>77</v>
      </c>
      <c r="B84" s="26">
        <v>17</v>
      </c>
      <c r="C84" s="27">
        <v>46212</v>
      </c>
      <c r="D84" s="28" t="s">
        <v>758</v>
      </c>
      <c r="E84" s="26">
        <v>15</v>
      </c>
      <c r="F84" s="26">
        <v>101</v>
      </c>
      <c r="G84" s="17" t="s">
        <v>224</v>
      </c>
      <c r="H84" s="28" t="s">
        <v>49</v>
      </c>
      <c r="I84" s="17" t="s">
        <v>225</v>
      </c>
      <c r="J84" s="17" t="s">
        <v>226</v>
      </c>
      <c r="K84" s="17" t="s">
        <v>79</v>
      </c>
      <c r="L84" s="28" t="s">
        <v>759</v>
      </c>
      <c r="M84" s="17" t="s">
        <v>760</v>
      </c>
      <c r="N84" s="17" t="s">
        <v>774</v>
      </c>
      <c r="O84" s="28" t="s">
        <v>761</v>
      </c>
      <c r="P84" s="28" t="s">
        <v>7</v>
      </c>
      <c r="Q84" s="28" t="s">
        <v>7</v>
      </c>
      <c r="R84" s="17"/>
      <c r="S84" s="18" t="s">
        <v>228</v>
      </c>
    </row>
    <row r="85" spans="1:19" ht="30" x14ac:dyDescent="0.25">
      <c r="A85" s="25">
        <v>78</v>
      </c>
      <c r="B85" s="26">
        <v>18</v>
      </c>
      <c r="C85" s="27">
        <v>46213</v>
      </c>
      <c r="D85" s="28" t="s">
        <v>748</v>
      </c>
      <c r="E85" s="26">
        <v>17</v>
      </c>
      <c r="F85" s="26">
        <v>98</v>
      </c>
      <c r="G85" s="17" t="s">
        <v>241</v>
      </c>
      <c r="H85" s="28" t="s">
        <v>76</v>
      </c>
      <c r="I85" s="17" t="s">
        <v>242</v>
      </c>
      <c r="J85" s="17" t="s">
        <v>243</v>
      </c>
      <c r="K85" s="17" t="s">
        <v>52</v>
      </c>
      <c r="L85" s="28" t="s">
        <v>749</v>
      </c>
      <c r="M85" s="17" t="s">
        <v>750</v>
      </c>
      <c r="N85" s="17" t="s">
        <v>774</v>
      </c>
      <c r="O85" s="28" t="s">
        <v>752</v>
      </c>
      <c r="P85" s="28" t="s">
        <v>7</v>
      </c>
      <c r="Q85" s="28" t="s">
        <v>7</v>
      </c>
      <c r="R85" s="17"/>
      <c r="S85" s="18" t="s">
        <v>245</v>
      </c>
    </row>
    <row r="86" spans="1:19" ht="30" x14ac:dyDescent="0.25">
      <c r="A86" s="25">
        <v>79</v>
      </c>
      <c r="B86" s="26">
        <v>18</v>
      </c>
      <c r="C86" s="27">
        <v>46213</v>
      </c>
      <c r="D86" s="28" t="s">
        <v>763</v>
      </c>
      <c r="E86" s="26">
        <v>11</v>
      </c>
      <c r="F86" s="26">
        <v>278</v>
      </c>
      <c r="G86" s="17" t="s">
        <v>176</v>
      </c>
      <c r="H86" s="28" t="s">
        <v>49</v>
      </c>
      <c r="I86" s="17" t="s">
        <v>163</v>
      </c>
      <c r="J86" s="17" t="s">
        <v>177</v>
      </c>
      <c r="K86" s="17" t="s">
        <v>52</v>
      </c>
      <c r="L86" s="28" t="s">
        <v>749</v>
      </c>
      <c r="M86" s="17" t="s">
        <v>764</v>
      </c>
      <c r="N86" s="17" t="s">
        <v>770</v>
      </c>
      <c r="O86" s="28" t="s">
        <v>765</v>
      </c>
      <c r="P86" s="28" t="s">
        <v>7</v>
      </c>
      <c r="Q86" s="28" t="s">
        <v>7</v>
      </c>
      <c r="R86" s="17"/>
      <c r="S86" s="18" t="s">
        <v>179</v>
      </c>
    </row>
    <row r="87" spans="1:19" ht="30" x14ac:dyDescent="0.25">
      <c r="A87" s="25">
        <v>80</v>
      </c>
      <c r="B87" s="26">
        <v>18</v>
      </c>
      <c r="C87" s="27">
        <v>46213</v>
      </c>
      <c r="D87" s="28" t="s">
        <v>754</v>
      </c>
      <c r="E87" s="26">
        <v>15</v>
      </c>
      <c r="F87" s="26">
        <v>104</v>
      </c>
      <c r="G87" s="17" t="s">
        <v>215</v>
      </c>
      <c r="H87" s="28" t="s">
        <v>49</v>
      </c>
      <c r="I87" s="17" t="s">
        <v>216</v>
      </c>
      <c r="J87" s="17" t="s">
        <v>217</v>
      </c>
      <c r="K87" s="17" t="s">
        <v>52</v>
      </c>
      <c r="L87" s="28" t="s">
        <v>749</v>
      </c>
      <c r="M87" s="17" t="s">
        <v>755</v>
      </c>
      <c r="N87" s="17" t="s">
        <v>774</v>
      </c>
      <c r="O87" s="28" t="s">
        <v>756</v>
      </c>
      <c r="P87" s="28" t="s">
        <v>7</v>
      </c>
      <c r="Q87" s="28" t="s">
        <v>7</v>
      </c>
      <c r="R87" s="17"/>
      <c r="S87" s="18" t="s">
        <v>219</v>
      </c>
    </row>
    <row r="88" spans="1:19" ht="30" x14ac:dyDescent="0.25">
      <c r="A88" s="25">
        <v>81</v>
      </c>
      <c r="B88" s="26">
        <v>18</v>
      </c>
      <c r="C88" s="27">
        <v>46213</v>
      </c>
      <c r="D88" s="28" t="s">
        <v>754</v>
      </c>
      <c r="E88" s="26">
        <v>15</v>
      </c>
      <c r="F88" s="26">
        <v>100</v>
      </c>
      <c r="G88" s="17" t="s">
        <v>220</v>
      </c>
      <c r="H88" s="28" t="s">
        <v>49</v>
      </c>
      <c r="I88" s="17" t="s">
        <v>216</v>
      </c>
      <c r="J88" s="17" t="s">
        <v>221</v>
      </c>
      <c r="K88" s="17" t="s">
        <v>52</v>
      </c>
      <c r="L88" s="28" t="s">
        <v>749</v>
      </c>
      <c r="M88" s="17" t="s">
        <v>755</v>
      </c>
      <c r="N88" s="17" t="s">
        <v>774</v>
      </c>
      <c r="O88" s="28" t="s">
        <v>756</v>
      </c>
      <c r="P88" s="28" t="s">
        <v>7</v>
      </c>
      <c r="Q88" s="28" t="s">
        <v>7</v>
      </c>
      <c r="R88" s="17"/>
      <c r="S88" s="18" t="s">
        <v>223</v>
      </c>
    </row>
    <row r="89" spans="1:19" ht="30" x14ac:dyDescent="0.25">
      <c r="A89" s="25">
        <v>82</v>
      </c>
      <c r="B89" s="26">
        <v>18</v>
      </c>
      <c r="C89" s="27">
        <v>46213</v>
      </c>
      <c r="D89" s="28" t="s">
        <v>763</v>
      </c>
      <c r="E89" s="26">
        <v>11</v>
      </c>
      <c r="F89" s="26">
        <v>153</v>
      </c>
      <c r="G89" s="17" t="s">
        <v>180</v>
      </c>
      <c r="H89" s="28" t="s">
        <v>76</v>
      </c>
      <c r="I89" s="17" t="s">
        <v>163</v>
      </c>
      <c r="J89" s="17" t="s">
        <v>181</v>
      </c>
      <c r="K89" s="17" t="s">
        <v>79</v>
      </c>
      <c r="L89" s="28" t="s">
        <v>759</v>
      </c>
      <c r="M89" s="17" t="s">
        <v>768</v>
      </c>
      <c r="N89" s="17" t="s">
        <v>770</v>
      </c>
      <c r="O89" s="28" t="s">
        <v>769</v>
      </c>
      <c r="P89" s="28" t="s">
        <v>7</v>
      </c>
      <c r="Q89" s="28" t="s">
        <v>7</v>
      </c>
      <c r="R89" s="17"/>
      <c r="S89" s="18" t="s">
        <v>183</v>
      </c>
    </row>
    <row r="90" spans="1:19" ht="30" x14ac:dyDescent="0.25">
      <c r="A90" s="25">
        <v>83</v>
      </c>
      <c r="B90" s="26">
        <v>18</v>
      </c>
      <c r="C90" s="27">
        <v>46213</v>
      </c>
      <c r="D90" s="28" t="s">
        <v>758</v>
      </c>
      <c r="E90" s="26">
        <v>16</v>
      </c>
      <c r="F90" s="26">
        <v>110</v>
      </c>
      <c r="G90" s="17" t="s">
        <v>237</v>
      </c>
      <c r="H90" s="28" t="s">
        <v>49</v>
      </c>
      <c r="I90" s="17" t="s">
        <v>216</v>
      </c>
      <c r="J90" s="17" t="s">
        <v>238</v>
      </c>
      <c r="K90" s="17" t="s">
        <v>79</v>
      </c>
      <c r="L90" s="28" t="s">
        <v>759</v>
      </c>
      <c r="M90" s="17" t="s">
        <v>760</v>
      </c>
      <c r="N90" s="17" t="s">
        <v>774</v>
      </c>
      <c r="O90" s="28" t="s">
        <v>761</v>
      </c>
      <c r="P90" s="28" t="s">
        <v>7</v>
      </c>
      <c r="Q90" s="28" t="s">
        <v>7</v>
      </c>
      <c r="R90" s="17"/>
      <c r="S90" s="18" t="s">
        <v>240</v>
      </c>
    </row>
    <row r="91" spans="1:19" ht="30" x14ac:dyDescent="0.25">
      <c r="A91" s="25">
        <v>84</v>
      </c>
      <c r="B91" s="26">
        <v>19</v>
      </c>
      <c r="C91" s="27">
        <v>46214</v>
      </c>
      <c r="D91" s="28" t="s">
        <v>763</v>
      </c>
      <c r="E91" s="26">
        <v>12</v>
      </c>
      <c r="F91" s="26">
        <v>141</v>
      </c>
      <c r="G91" s="17" t="s">
        <v>197</v>
      </c>
      <c r="H91" s="28" t="s">
        <v>49</v>
      </c>
      <c r="I91" s="17" t="s">
        <v>188</v>
      </c>
      <c r="J91" s="17" t="s">
        <v>198</v>
      </c>
      <c r="K91" s="17" t="s">
        <v>52</v>
      </c>
      <c r="L91" s="28" t="s">
        <v>749</v>
      </c>
      <c r="M91" s="17" t="s">
        <v>764</v>
      </c>
      <c r="N91" s="17" t="s">
        <v>757</v>
      </c>
      <c r="O91" s="28" t="s">
        <v>765</v>
      </c>
      <c r="P91" s="28" t="s">
        <v>7</v>
      </c>
      <c r="Q91" s="28" t="s">
        <v>7</v>
      </c>
      <c r="R91" s="17"/>
      <c r="S91" s="18" t="s">
        <v>200</v>
      </c>
    </row>
    <row r="92" spans="1:19" ht="30" x14ac:dyDescent="0.25">
      <c r="A92" s="25">
        <v>85</v>
      </c>
      <c r="B92" s="26">
        <v>19</v>
      </c>
      <c r="C92" s="27">
        <v>46214</v>
      </c>
      <c r="D92" s="28" t="s">
        <v>763</v>
      </c>
      <c r="E92" s="26">
        <v>12</v>
      </c>
      <c r="F92" s="26">
        <v>21</v>
      </c>
      <c r="G92" s="17" t="s">
        <v>193</v>
      </c>
      <c r="H92" s="28" t="s">
        <v>49</v>
      </c>
      <c r="I92" s="17" t="s">
        <v>188</v>
      </c>
      <c r="J92" s="17" t="s">
        <v>194</v>
      </c>
      <c r="K92" s="17" t="s">
        <v>52</v>
      </c>
      <c r="L92" s="28" t="s">
        <v>749</v>
      </c>
      <c r="M92" s="17" t="s">
        <v>764</v>
      </c>
      <c r="N92" s="17" t="s">
        <v>773</v>
      </c>
      <c r="O92" s="28" t="s">
        <v>765</v>
      </c>
      <c r="P92" s="28" t="s">
        <v>7</v>
      </c>
      <c r="Q92" s="28" t="s">
        <v>7</v>
      </c>
      <c r="R92" s="17"/>
      <c r="S92" s="18" t="s">
        <v>196</v>
      </c>
    </row>
    <row r="93" spans="1:19" ht="30" x14ac:dyDescent="0.25">
      <c r="A93" s="25">
        <v>86</v>
      </c>
      <c r="B93" s="26">
        <v>19</v>
      </c>
      <c r="C93" s="27">
        <v>46214</v>
      </c>
      <c r="D93" s="28" t="s">
        <v>763</v>
      </c>
      <c r="E93" s="26">
        <v>12</v>
      </c>
      <c r="F93" s="26">
        <v>206</v>
      </c>
      <c r="G93" s="17" t="s">
        <v>187</v>
      </c>
      <c r="H93" s="28" t="s">
        <v>49</v>
      </c>
      <c r="I93" s="17" t="s">
        <v>188</v>
      </c>
      <c r="J93" s="17" t="s">
        <v>189</v>
      </c>
      <c r="K93" s="17" t="s">
        <v>52</v>
      </c>
      <c r="L93" s="28" t="s">
        <v>749</v>
      </c>
      <c r="M93" s="17" t="s">
        <v>764</v>
      </c>
      <c r="N93" s="17" t="s">
        <v>757</v>
      </c>
      <c r="O93" s="28" t="s">
        <v>765</v>
      </c>
      <c r="P93" s="28" t="s">
        <v>7</v>
      </c>
      <c r="Q93" s="28" t="s">
        <v>7</v>
      </c>
      <c r="R93" s="17"/>
      <c r="S93" s="18" t="s">
        <v>191</v>
      </c>
    </row>
    <row r="94" spans="1:19" ht="30" x14ac:dyDescent="0.25">
      <c r="A94" s="25">
        <v>87</v>
      </c>
      <c r="B94" s="26">
        <v>19</v>
      </c>
      <c r="C94" s="27">
        <v>46214</v>
      </c>
      <c r="D94" s="28" t="s">
        <v>748</v>
      </c>
      <c r="E94" s="26">
        <v>18</v>
      </c>
      <c r="F94" s="26">
        <v>102</v>
      </c>
      <c r="G94" s="17" t="s">
        <v>254</v>
      </c>
      <c r="H94" s="28" t="s">
        <v>76</v>
      </c>
      <c r="I94" s="17" t="s">
        <v>255</v>
      </c>
      <c r="J94" s="17" t="s">
        <v>256</v>
      </c>
      <c r="K94" s="17" t="s">
        <v>52</v>
      </c>
      <c r="L94" s="28" t="s">
        <v>749</v>
      </c>
      <c r="M94" s="17" t="s">
        <v>750</v>
      </c>
      <c r="N94" s="17" t="s">
        <v>774</v>
      </c>
      <c r="O94" s="28" t="s">
        <v>752</v>
      </c>
      <c r="P94" s="28" t="s">
        <v>7</v>
      </c>
      <c r="Q94" s="28" t="s">
        <v>7</v>
      </c>
      <c r="R94" s="17"/>
      <c r="S94" s="18" t="s">
        <v>258</v>
      </c>
    </row>
    <row r="95" spans="1:19" ht="30" x14ac:dyDescent="0.25">
      <c r="A95" s="25">
        <v>88</v>
      </c>
      <c r="B95" s="26">
        <v>19</v>
      </c>
      <c r="C95" s="27">
        <v>46214</v>
      </c>
      <c r="D95" s="28" t="s">
        <v>754</v>
      </c>
      <c r="E95" s="26">
        <v>16</v>
      </c>
      <c r="F95" s="26">
        <v>226</v>
      </c>
      <c r="G95" s="17" t="s">
        <v>229</v>
      </c>
      <c r="H95" s="28" t="s">
        <v>49</v>
      </c>
      <c r="I95" s="17" t="s">
        <v>216</v>
      </c>
      <c r="J95" s="17" t="s">
        <v>230</v>
      </c>
      <c r="K95" s="17" t="s">
        <v>52</v>
      </c>
      <c r="L95" s="28" t="s">
        <v>749</v>
      </c>
      <c r="M95" s="17" t="s">
        <v>755</v>
      </c>
      <c r="N95" s="17" t="s">
        <v>774</v>
      </c>
      <c r="O95" s="28" t="s">
        <v>756</v>
      </c>
      <c r="P95" s="28" t="s">
        <v>7</v>
      </c>
      <c r="Q95" s="28" t="s">
        <v>7</v>
      </c>
      <c r="R95" s="17"/>
      <c r="S95" s="18" t="s">
        <v>232</v>
      </c>
    </row>
    <row r="96" spans="1:19" ht="30" x14ac:dyDescent="0.25">
      <c r="A96" s="25">
        <v>89</v>
      </c>
      <c r="B96" s="26">
        <v>19</v>
      </c>
      <c r="C96" s="27">
        <v>46214</v>
      </c>
      <c r="D96" s="28" t="s">
        <v>754</v>
      </c>
      <c r="E96" s="26">
        <v>16</v>
      </c>
      <c r="F96" s="26">
        <v>112</v>
      </c>
      <c r="G96" s="17" t="s">
        <v>233</v>
      </c>
      <c r="H96" s="28" t="s">
        <v>49</v>
      </c>
      <c r="I96" s="17" t="s">
        <v>216</v>
      </c>
      <c r="J96" s="17" t="s">
        <v>234</v>
      </c>
      <c r="K96" s="17" t="s">
        <v>52</v>
      </c>
      <c r="L96" s="28" t="s">
        <v>749</v>
      </c>
      <c r="M96" s="17" t="s">
        <v>755</v>
      </c>
      <c r="N96" s="17" t="s">
        <v>774</v>
      </c>
      <c r="O96" s="28" t="s">
        <v>756</v>
      </c>
      <c r="P96" s="28" t="s">
        <v>7</v>
      </c>
      <c r="Q96" s="28" t="s">
        <v>7</v>
      </c>
      <c r="R96" s="17"/>
      <c r="S96" s="18" t="s">
        <v>236</v>
      </c>
    </row>
    <row r="97" spans="1:19" ht="30" x14ac:dyDescent="0.25">
      <c r="A97" s="25">
        <v>90</v>
      </c>
      <c r="B97" s="26">
        <v>19</v>
      </c>
      <c r="C97" s="27">
        <v>46214</v>
      </c>
      <c r="D97" s="28" t="s">
        <v>758</v>
      </c>
      <c r="E97" s="26">
        <v>17</v>
      </c>
      <c r="F97" s="26">
        <v>235</v>
      </c>
      <c r="G97" s="17" t="s">
        <v>246</v>
      </c>
      <c r="H97" s="28" t="s">
        <v>76</v>
      </c>
      <c r="I97" s="17" t="s">
        <v>242</v>
      </c>
      <c r="J97" s="17" t="s">
        <v>247</v>
      </c>
      <c r="K97" s="17" t="s">
        <v>79</v>
      </c>
      <c r="L97" s="28" t="s">
        <v>759</v>
      </c>
      <c r="M97" s="17" t="s">
        <v>760</v>
      </c>
      <c r="N97" s="17" t="s">
        <v>774</v>
      </c>
      <c r="O97" s="28" t="s">
        <v>761</v>
      </c>
      <c r="P97" s="28" t="s">
        <v>7</v>
      </c>
      <c r="Q97" s="28" t="s">
        <v>7</v>
      </c>
      <c r="R97" s="17"/>
      <c r="S97" s="18" t="s">
        <v>249</v>
      </c>
    </row>
    <row r="98" spans="1:19" ht="30" x14ac:dyDescent="0.25">
      <c r="A98" s="25">
        <v>91</v>
      </c>
      <c r="B98" s="26">
        <v>20</v>
      </c>
      <c r="C98" s="27">
        <v>46215</v>
      </c>
      <c r="D98" s="28" t="s">
        <v>754</v>
      </c>
      <c r="E98" s="26">
        <v>17</v>
      </c>
      <c r="F98" s="26">
        <v>98</v>
      </c>
      <c r="G98" s="17" t="s">
        <v>241</v>
      </c>
      <c r="H98" s="28" t="s">
        <v>76</v>
      </c>
      <c r="I98" s="17" t="s">
        <v>242</v>
      </c>
      <c r="J98" s="17" t="s">
        <v>243</v>
      </c>
      <c r="K98" s="17" t="s">
        <v>52</v>
      </c>
      <c r="L98" s="28" t="s">
        <v>749</v>
      </c>
      <c r="M98" s="17" t="s">
        <v>755</v>
      </c>
      <c r="N98" s="17" t="s">
        <v>774</v>
      </c>
      <c r="O98" s="28" t="s">
        <v>756</v>
      </c>
      <c r="P98" s="28" t="s">
        <v>7</v>
      </c>
      <c r="Q98" s="28" t="s">
        <v>7</v>
      </c>
      <c r="R98" s="17"/>
      <c r="S98" s="18" t="s">
        <v>245</v>
      </c>
    </row>
    <row r="99" spans="1:19" ht="30" x14ac:dyDescent="0.25">
      <c r="A99" s="25">
        <v>92</v>
      </c>
      <c r="B99" s="26">
        <v>20</v>
      </c>
      <c r="C99" s="27">
        <v>46215</v>
      </c>
      <c r="D99" s="28" t="s">
        <v>748</v>
      </c>
      <c r="E99" s="26">
        <v>19</v>
      </c>
      <c r="F99" s="26">
        <v>56</v>
      </c>
      <c r="G99" s="17" t="s">
        <v>266</v>
      </c>
      <c r="H99" s="28" t="s">
        <v>76</v>
      </c>
      <c r="I99" s="17" t="s">
        <v>267</v>
      </c>
      <c r="J99" s="17" t="s">
        <v>268</v>
      </c>
      <c r="K99" s="17" t="s">
        <v>52</v>
      </c>
      <c r="L99" s="28" t="s">
        <v>749</v>
      </c>
      <c r="M99" s="17" t="s">
        <v>750</v>
      </c>
      <c r="N99" s="17" t="s">
        <v>778</v>
      </c>
      <c r="O99" s="28" t="s">
        <v>752</v>
      </c>
      <c r="P99" s="28" t="s">
        <v>7</v>
      </c>
      <c r="Q99" s="28" t="s">
        <v>7</v>
      </c>
      <c r="R99" s="17"/>
      <c r="S99" s="18" t="s">
        <v>270</v>
      </c>
    </row>
    <row r="100" spans="1:19" ht="30" x14ac:dyDescent="0.25">
      <c r="A100" s="25">
        <v>93</v>
      </c>
      <c r="B100" s="26">
        <v>20</v>
      </c>
      <c r="C100" s="27">
        <v>46215</v>
      </c>
      <c r="D100" s="28" t="s">
        <v>763</v>
      </c>
      <c r="E100" s="26">
        <v>13</v>
      </c>
      <c r="F100" s="26">
        <v>876</v>
      </c>
      <c r="G100" s="17" t="s">
        <v>201</v>
      </c>
      <c r="H100" s="28" t="s">
        <v>49</v>
      </c>
      <c r="I100" s="17" t="s">
        <v>188</v>
      </c>
      <c r="J100" s="17" t="s">
        <v>198</v>
      </c>
      <c r="K100" s="17" t="s">
        <v>52</v>
      </c>
      <c r="L100" s="28" t="s">
        <v>749</v>
      </c>
      <c r="M100" s="17" t="s">
        <v>764</v>
      </c>
      <c r="N100" s="17" t="s">
        <v>757</v>
      </c>
      <c r="O100" s="28" t="s">
        <v>765</v>
      </c>
      <c r="P100" s="28" t="s">
        <v>7</v>
      </c>
      <c r="Q100" s="28" t="s">
        <v>7</v>
      </c>
      <c r="R100" s="17"/>
      <c r="S100" s="18" t="s">
        <v>203</v>
      </c>
    </row>
    <row r="101" spans="1:19" ht="30" x14ac:dyDescent="0.25">
      <c r="A101" s="25">
        <v>94</v>
      </c>
      <c r="B101" s="26">
        <v>20</v>
      </c>
      <c r="C101" s="27">
        <v>46215</v>
      </c>
      <c r="D101" s="28" t="s">
        <v>763</v>
      </c>
      <c r="E101" s="26">
        <v>13</v>
      </c>
      <c r="F101" s="26">
        <v>19</v>
      </c>
      <c r="G101" s="17" t="s">
        <v>204</v>
      </c>
      <c r="H101" s="28" t="s">
        <v>76</v>
      </c>
      <c r="I101" s="17" t="s">
        <v>188</v>
      </c>
      <c r="J101" s="17" t="s">
        <v>205</v>
      </c>
      <c r="K101" s="17" t="s">
        <v>79</v>
      </c>
      <c r="L101" s="28" t="s">
        <v>759</v>
      </c>
      <c r="M101" s="17" t="s">
        <v>768</v>
      </c>
      <c r="N101" s="17" t="s">
        <v>757</v>
      </c>
      <c r="O101" s="28" t="s">
        <v>769</v>
      </c>
      <c r="P101" s="28" t="s">
        <v>7</v>
      </c>
      <c r="Q101" s="28" t="s">
        <v>7</v>
      </c>
      <c r="R101" s="17"/>
      <c r="S101" s="18" t="s">
        <v>207</v>
      </c>
    </row>
    <row r="102" spans="1:19" ht="30" x14ac:dyDescent="0.25">
      <c r="A102" s="25">
        <v>95</v>
      </c>
      <c r="B102" s="26">
        <v>20</v>
      </c>
      <c r="C102" s="27">
        <v>46215</v>
      </c>
      <c r="D102" s="28" t="s">
        <v>758</v>
      </c>
      <c r="E102" s="26">
        <v>18</v>
      </c>
      <c r="F102" s="26">
        <v>199</v>
      </c>
      <c r="G102" s="17" t="s">
        <v>259</v>
      </c>
      <c r="H102" s="28" t="s">
        <v>76</v>
      </c>
      <c r="I102" s="17" t="s">
        <v>255</v>
      </c>
      <c r="J102" s="17" t="s">
        <v>256</v>
      </c>
      <c r="K102" s="17" t="s">
        <v>79</v>
      </c>
      <c r="L102" s="28" t="s">
        <v>759</v>
      </c>
      <c r="M102" s="17" t="s">
        <v>760</v>
      </c>
      <c r="N102" s="17" t="s">
        <v>774</v>
      </c>
      <c r="O102" s="28" t="s">
        <v>761</v>
      </c>
      <c r="P102" s="28" t="s">
        <v>7</v>
      </c>
      <c r="Q102" s="28" t="s">
        <v>7</v>
      </c>
      <c r="R102" s="17"/>
      <c r="S102" s="18" t="s">
        <v>261</v>
      </c>
    </row>
    <row r="103" spans="1:19" ht="30" x14ac:dyDescent="0.25">
      <c r="A103" s="25">
        <v>96</v>
      </c>
      <c r="B103" s="26">
        <v>20</v>
      </c>
      <c r="C103" s="27">
        <v>46215</v>
      </c>
      <c r="D103" s="28" t="s">
        <v>763</v>
      </c>
      <c r="E103" s="26">
        <v>13</v>
      </c>
      <c r="F103" s="26">
        <v>234</v>
      </c>
      <c r="G103" s="17" t="s">
        <v>208</v>
      </c>
      <c r="H103" s="28" t="s">
        <v>49</v>
      </c>
      <c r="I103" s="17" t="s">
        <v>188</v>
      </c>
      <c r="J103" s="17" t="s">
        <v>209</v>
      </c>
      <c r="K103" s="17" t="s">
        <v>103</v>
      </c>
      <c r="L103" s="28" t="s">
        <v>771</v>
      </c>
      <c r="M103" s="17" t="s">
        <v>772</v>
      </c>
      <c r="N103" s="17" t="s">
        <v>773</v>
      </c>
      <c r="O103" s="28" t="s">
        <v>765</v>
      </c>
      <c r="P103" s="28" t="s">
        <v>7</v>
      </c>
      <c r="Q103" s="28" t="s">
        <v>7</v>
      </c>
      <c r="R103" s="17"/>
      <c r="S103" s="18" t="s">
        <v>211</v>
      </c>
    </row>
    <row r="104" spans="1:19" ht="30" x14ac:dyDescent="0.25">
      <c r="A104" s="25">
        <v>97</v>
      </c>
      <c r="B104" s="26">
        <v>21</v>
      </c>
      <c r="C104" s="27">
        <v>46216</v>
      </c>
      <c r="D104" s="28" t="s">
        <v>748</v>
      </c>
      <c r="E104" s="26">
        <v>20</v>
      </c>
      <c r="F104" s="26">
        <v>703</v>
      </c>
      <c r="G104" s="17" t="s">
        <v>281</v>
      </c>
      <c r="H104" s="28" t="s">
        <v>49</v>
      </c>
      <c r="I104" s="17" t="s">
        <v>282</v>
      </c>
      <c r="J104" s="17" t="s">
        <v>283</v>
      </c>
      <c r="K104" s="17" t="s">
        <v>52</v>
      </c>
      <c r="L104" s="28" t="s">
        <v>749</v>
      </c>
      <c r="M104" s="17" t="s">
        <v>750</v>
      </c>
      <c r="N104" s="17" t="s">
        <v>779</v>
      </c>
      <c r="O104" s="28" t="s">
        <v>752</v>
      </c>
      <c r="P104" s="28" t="s">
        <v>7</v>
      </c>
      <c r="Q104" s="28" t="s">
        <v>7</v>
      </c>
      <c r="R104" s="17"/>
      <c r="S104" s="18" t="s">
        <v>285</v>
      </c>
    </row>
    <row r="105" spans="1:19" ht="30" x14ac:dyDescent="0.25">
      <c r="A105" s="25">
        <v>98</v>
      </c>
      <c r="B105" s="26">
        <v>21</v>
      </c>
      <c r="C105" s="27">
        <v>46216</v>
      </c>
      <c r="D105" s="28" t="s">
        <v>748</v>
      </c>
      <c r="E105" s="26">
        <v>20</v>
      </c>
      <c r="F105" s="26">
        <v>347</v>
      </c>
      <c r="G105" s="17" t="s">
        <v>291</v>
      </c>
      <c r="H105" s="28" t="s">
        <v>76</v>
      </c>
      <c r="I105" s="17" t="s">
        <v>292</v>
      </c>
      <c r="J105" s="17" t="s">
        <v>293</v>
      </c>
      <c r="K105" s="17" t="s">
        <v>52</v>
      </c>
      <c r="L105" s="28" t="s">
        <v>749</v>
      </c>
      <c r="M105" s="17" t="s">
        <v>750</v>
      </c>
      <c r="N105" s="17" t="s">
        <v>751</v>
      </c>
      <c r="O105" s="28" t="s">
        <v>752</v>
      </c>
      <c r="P105" s="28" t="s">
        <v>7</v>
      </c>
      <c r="Q105" s="28" t="s">
        <v>7</v>
      </c>
      <c r="R105" s="17"/>
      <c r="S105" s="18" t="s">
        <v>295</v>
      </c>
    </row>
    <row r="106" spans="1:19" ht="30" x14ac:dyDescent="0.25">
      <c r="A106" s="25">
        <v>99</v>
      </c>
      <c r="B106" s="26">
        <v>21</v>
      </c>
      <c r="C106" s="27">
        <v>46216</v>
      </c>
      <c r="D106" s="28" t="s">
        <v>754</v>
      </c>
      <c r="E106" s="26">
        <v>18</v>
      </c>
      <c r="F106" s="26">
        <v>102</v>
      </c>
      <c r="G106" s="17" t="s">
        <v>254</v>
      </c>
      <c r="H106" s="28" t="s">
        <v>76</v>
      </c>
      <c r="I106" s="17" t="s">
        <v>255</v>
      </c>
      <c r="J106" s="17" t="s">
        <v>256</v>
      </c>
      <c r="K106" s="17" t="s">
        <v>52</v>
      </c>
      <c r="L106" s="28" t="s">
        <v>749</v>
      </c>
      <c r="M106" s="17" t="s">
        <v>755</v>
      </c>
      <c r="N106" s="17" t="s">
        <v>774</v>
      </c>
      <c r="O106" s="28" t="s">
        <v>756</v>
      </c>
      <c r="P106" s="28" t="s">
        <v>7</v>
      </c>
      <c r="Q106" s="28" t="s">
        <v>7</v>
      </c>
      <c r="R106" s="17"/>
      <c r="S106" s="18" t="s">
        <v>258</v>
      </c>
    </row>
    <row r="107" spans="1:19" ht="30" x14ac:dyDescent="0.25">
      <c r="A107" s="25">
        <v>100</v>
      </c>
      <c r="B107" s="26">
        <v>21</v>
      </c>
      <c r="C107" s="27">
        <v>46216</v>
      </c>
      <c r="D107" s="28" t="s">
        <v>775</v>
      </c>
      <c r="E107" s="26">
        <v>11</v>
      </c>
      <c r="F107" s="26">
        <v>33</v>
      </c>
      <c r="G107" s="17" t="s">
        <v>184</v>
      </c>
      <c r="H107" s="28" t="s">
        <v>76</v>
      </c>
      <c r="I107" s="17" t="s">
        <v>163</v>
      </c>
      <c r="J107" s="17" t="s">
        <v>181</v>
      </c>
      <c r="K107" s="17" t="s">
        <v>119</v>
      </c>
      <c r="L107" s="28" t="s">
        <v>759</v>
      </c>
      <c r="M107" s="17" t="s">
        <v>776</v>
      </c>
      <c r="N107" s="17" t="s">
        <v>770</v>
      </c>
      <c r="O107" s="28" t="s">
        <v>777</v>
      </c>
      <c r="P107" s="28" t="s">
        <v>7</v>
      </c>
      <c r="Q107" s="28" t="s">
        <v>7</v>
      </c>
      <c r="R107" s="17"/>
      <c r="S107" s="18" t="s">
        <v>186</v>
      </c>
    </row>
    <row r="108" spans="1:19" ht="30" x14ac:dyDescent="0.25">
      <c r="A108" s="25">
        <v>101</v>
      </c>
      <c r="B108" s="26">
        <v>21</v>
      </c>
      <c r="C108" s="27">
        <v>46216</v>
      </c>
      <c r="D108" s="28" t="s">
        <v>758</v>
      </c>
      <c r="E108" s="26">
        <v>19</v>
      </c>
      <c r="F108" s="26">
        <v>57</v>
      </c>
      <c r="G108" s="17" t="s">
        <v>271</v>
      </c>
      <c r="H108" s="28" t="s">
        <v>76</v>
      </c>
      <c r="I108" s="17" t="s">
        <v>272</v>
      </c>
      <c r="J108" s="17" t="s">
        <v>273</v>
      </c>
      <c r="K108" s="17" t="s">
        <v>79</v>
      </c>
      <c r="L108" s="28" t="s">
        <v>759</v>
      </c>
      <c r="M108" s="17" t="s">
        <v>760</v>
      </c>
      <c r="N108" s="17" t="s">
        <v>778</v>
      </c>
      <c r="O108" s="28" t="s">
        <v>761</v>
      </c>
      <c r="P108" s="28" t="s">
        <v>7</v>
      </c>
      <c r="Q108" s="28" t="s">
        <v>7</v>
      </c>
      <c r="R108" s="17"/>
      <c r="S108" s="18" t="s">
        <v>275</v>
      </c>
    </row>
    <row r="109" spans="1:19" ht="30" x14ac:dyDescent="0.25">
      <c r="A109" s="25">
        <v>102</v>
      </c>
      <c r="B109" s="26">
        <v>22</v>
      </c>
      <c r="C109" s="27">
        <v>46217</v>
      </c>
      <c r="D109" s="28" t="s">
        <v>754</v>
      </c>
      <c r="E109" s="26">
        <v>19</v>
      </c>
      <c r="F109" s="26">
        <v>56</v>
      </c>
      <c r="G109" s="17" t="s">
        <v>266</v>
      </c>
      <c r="H109" s="28" t="s">
        <v>76</v>
      </c>
      <c r="I109" s="17" t="s">
        <v>267</v>
      </c>
      <c r="J109" s="17" t="s">
        <v>268</v>
      </c>
      <c r="K109" s="17" t="s">
        <v>52</v>
      </c>
      <c r="L109" s="28" t="s">
        <v>749</v>
      </c>
      <c r="M109" s="17" t="s">
        <v>755</v>
      </c>
      <c r="N109" s="17" t="s">
        <v>778</v>
      </c>
      <c r="O109" s="28" t="s">
        <v>756</v>
      </c>
      <c r="P109" s="28" t="s">
        <v>7</v>
      </c>
      <c r="Q109" s="28" t="s">
        <v>7</v>
      </c>
      <c r="R109" s="17"/>
      <c r="S109" s="18" t="s">
        <v>270</v>
      </c>
    </row>
    <row r="110" spans="1:19" ht="30" x14ac:dyDescent="0.25">
      <c r="A110" s="25">
        <v>103</v>
      </c>
      <c r="B110" s="26">
        <v>22</v>
      </c>
      <c r="C110" s="27">
        <v>46217</v>
      </c>
      <c r="D110" s="28" t="s">
        <v>763</v>
      </c>
      <c r="E110" s="26">
        <v>15</v>
      </c>
      <c r="F110" s="26">
        <v>104</v>
      </c>
      <c r="G110" s="17" t="s">
        <v>215</v>
      </c>
      <c r="H110" s="28" t="s">
        <v>49</v>
      </c>
      <c r="I110" s="17" t="s">
        <v>216</v>
      </c>
      <c r="J110" s="17" t="s">
        <v>217</v>
      </c>
      <c r="K110" s="17" t="s">
        <v>52</v>
      </c>
      <c r="L110" s="28" t="s">
        <v>749</v>
      </c>
      <c r="M110" s="17" t="s">
        <v>764</v>
      </c>
      <c r="N110" s="17" t="s">
        <v>774</v>
      </c>
      <c r="O110" s="28" t="s">
        <v>765</v>
      </c>
      <c r="P110" s="28" t="s">
        <v>7</v>
      </c>
      <c r="Q110" s="28" t="s">
        <v>7</v>
      </c>
      <c r="R110" s="17"/>
      <c r="S110" s="18" t="s">
        <v>219</v>
      </c>
    </row>
    <row r="111" spans="1:19" ht="30" x14ac:dyDescent="0.25">
      <c r="A111" s="25">
        <v>104</v>
      </c>
      <c r="B111" s="26">
        <v>22</v>
      </c>
      <c r="C111" s="27">
        <v>46217</v>
      </c>
      <c r="D111" s="28" t="s">
        <v>763</v>
      </c>
      <c r="E111" s="26">
        <v>15</v>
      </c>
      <c r="F111" s="26">
        <v>100</v>
      </c>
      <c r="G111" s="17" t="s">
        <v>220</v>
      </c>
      <c r="H111" s="28" t="s">
        <v>49</v>
      </c>
      <c r="I111" s="17" t="s">
        <v>216</v>
      </c>
      <c r="J111" s="17" t="s">
        <v>221</v>
      </c>
      <c r="K111" s="17" t="s">
        <v>52</v>
      </c>
      <c r="L111" s="28" t="s">
        <v>749</v>
      </c>
      <c r="M111" s="17" t="s">
        <v>764</v>
      </c>
      <c r="N111" s="17" t="s">
        <v>774</v>
      </c>
      <c r="O111" s="28" t="s">
        <v>765</v>
      </c>
      <c r="P111" s="28" t="s">
        <v>7</v>
      </c>
      <c r="Q111" s="28" t="s">
        <v>7</v>
      </c>
      <c r="R111" s="17"/>
      <c r="S111" s="18" t="s">
        <v>223</v>
      </c>
    </row>
    <row r="112" spans="1:19" ht="30" x14ac:dyDescent="0.25">
      <c r="A112" s="25">
        <v>105</v>
      </c>
      <c r="B112" s="26">
        <v>22</v>
      </c>
      <c r="C112" s="27">
        <v>46217</v>
      </c>
      <c r="D112" s="28" t="s">
        <v>758</v>
      </c>
      <c r="E112" s="26">
        <v>20</v>
      </c>
      <c r="F112" s="26">
        <v>215</v>
      </c>
      <c r="G112" s="17" t="s">
        <v>286</v>
      </c>
      <c r="H112" s="28" t="s">
        <v>76</v>
      </c>
      <c r="I112" s="17" t="s">
        <v>287</v>
      </c>
      <c r="J112" s="17" t="s">
        <v>288</v>
      </c>
      <c r="K112" s="17" t="s">
        <v>79</v>
      </c>
      <c r="L112" s="28" t="s">
        <v>759</v>
      </c>
      <c r="M112" s="17" t="s">
        <v>760</v>
      </c>
      <c r="N112" s="17" t="s">
        <v>779</v>
      </c>
      <c r="O112" s="28" t="s">
        <v>761</v>
      </c>
      <c r="P112" s="28" t="s">
        <v>7</v>
      </c>
      <c r="Q112" s="28" t="s">
        <v>7</v>
      </c>
      <c r="R112" s="17"/>
      <c r="S112" s="18" t="s">
        <v>290</v>
      </c>
    </row>
    <row r="113" spans="1:19" ht="30" x14ac:dyDescent="0.25">
      <c r="A113" s="25">
        <v>106</v>
      </c>
      <c r="B113" s="26">
        <v>22</v>
      </c>
      <c r="C113" s="27">
        <v>46217</v>
      </c>
      <c r="D113" s="28" t="s">
        <v>763</v>
      </c>
      <c r="E113" s="26">
        <v>15</v>
      </c>
      <c r="F113" s="26">
        <v>101</v>
      </c>
      <c r="G113" s="17" t="s">
        <v>224</v>
      </c>
      <c r="H113" s="28" t="s">
        <v>49</v>
      </c>
      <c r="I113" s="17" t="s">
        <v>225</v>
      </c>
      <c r="J113" s="17" t="s">
        <v>226</v>
      </c>
      <c r="K113" s="17" t="s">
        <v>79</v>
      </c>
      <c r="L113" s="28" t="s">
        <v>759</v>
      </c>
      <c r="M113" s="17" t="s">
        <v>768</v>
      </c>
      <c r="N113" s="17" t="s">
        <v>774</v>
      </c>
      <c r="O113" s="28" t="s">
        <v>769</v>
      </c>
      <c r="P113" s="28" t="s">
        <v>7</v>
      </c>
      <c r="Q113" s="28" t="s">
        <v>7</v>
      </c>
      <c r="R113" s="17"/>
      <c r="S113" s="18" t="s">
        <v>228</v>
      </c>
    </row>
    <row r="114" spans="1:19" x14ac:dyDescent="0.25">
      <c r="A114" s="25">
        <v>107</v>
      </c>
      <c r="B114" s="26">
        <v>23</v>
      </c>
      <c r="C114" s="27">
        <v>46218</v>
      </c>
      <c r="D114" s="28" t="s">
        <v>748</v>
      </c>
      <c r="E114" s="26">
        <v>22</v>
      </c>
      <c r="F114" s="26">
        <v>733</v>
      </c>
      <c r="G114" s="17" t="s">
        <v>308</v>
      </c>
      <c r="H114" s="28" t="s">
        <v>49</v>
      </c>
      <c r="I114" s="17" t="s">
        <v>304</v>
      </c>
      <c r="J114" s="17" t="s">
        <v>305</v>
      </c>
      <c r="K114" s="17" t="s">
        <v>52</v>
      </c>
      <c r="L114" s="28" t="s">
        <v>749</v>
      </c>
      <c r="M114" s="17" t="s">
        <v>750</v>
      </c>
      <c r="N114" s="17" t="s">
        <v>780</v>
      </c>
      <c r="O114" s="28" t="s">
        <v>752</v>
      </c>
      <c r="P114" s="28" t="s">
        <v>7</v>
      </c>
      <c r="Q114" s="28" t="s">
        <v>7</v>
      </c>
      <c r="R114" s="17"/>
      <c r="S114" s="18" t="s">
        <v>310</v>
      </c>
    </row>
    <row r="115" spans="1:19" x14ac:dyDescent="0.25">
      <c r="A115" s="25">
        <v>108</v>
      </c>
      <c r="B115" s="26">
        <v>23</v>
      </c>
      <c r="C115" s="27">
        <v>46218</v>
      </c>
      <c r="D115" s="28" t="s">
        <v>748</v>
      </c>
      <c r="E115" s="26">
        <v>22</v>
      </c>
      <c r="F115" s="26">
        <v>200</v>
      </c>
      <c r="G115" s="17" t="s">
        <v>303</v>
      </c>
      <c r="H115" s="28" t="s">
        <v>76</v>
      </c>
      <c r="I115" s="17" t="s">
        <v>304</v>
      </c>
      <c r="J115" s="17" t="s">
        <v>305</v>
      </c>
      <c r="K115" s="17" t="s">
        <v>52</v>
      </c>
      <c r="L115" s="28" t="s">
        <v>749</v>
      </c>
      <c r="M115" s="17" t="s">
        <v>750</v>
      </c>
      <c r="N115" s="17" t="s">
        <v>780</v>
      </c>
      <c r="O115" s="28" t="s">
        <v>752</v>
      </c>
      <c r="P115" s="28" t="s">
        <v>7</v>
      </c>
      <c r="Q115" s="28" t="s">
        <v>7</v>
      </c>
      <c r="R115" s="17"/>
      <c r="S115" s="18" t="s">
        <v>307</v>
      </c>
    </row>
    <row r="116" spans="1:19" ht="30" x14ac:dyDescent="0.25">
      <c r="A116" s="25">
        <v>109</v>
      </c>
      <c r="B116" s="26">
        <v>23</v>
      </c>
      <c r="C116" s="27">
        <v>46218</v>
      </c>
      <c r="D116" s="28" t="s">
        <v>754</v>
      </c>
      <c r="E116" s="26">
        <v>20</v>
      </c>
      <c r="F116" s="26">
        <v>703</v>
      </c>
      <c r="G116" s="17" t="s">
        <v>281</v>
      </c>
      <c r="H116" s="28" t="s">
        <v>49</v>
      </c>
      <c r="I116" s="17" t="s">
        <v>282</v>
      </c>
      <c r="J116" s="17" t="s">
        <v>283</v>
      </c>
      <c r="K116" s="17" t="s">
        <v>52</v>
      </c>
      <c r="L116" s="28" t="s">
        <v>749</v>
      </c>
      <c r="M116" s="17" t="s">
        <v>755</v>
      </c>
      <c r="N116" s="17" t="s">
        <v>779</v>
      </c>
      <c r="O116" s="28" t="s">
        <v>756</v>
      </c>
      <c r="P116" s="28" t="s">
        <v>7</v>
      </c>
      <c r="Q116" s="28" t="s">
        <v>7</v>
      </c>
      <c r="R116" s="17"/>
      <c r="S116" s="18" t="s">
        <v>285</v>
      </c>
    </row>
    <row r="117" spans="1:19" ht="30" x14ac:dyDescent="0.25">
      <c r="A117" s="25">
        <v>110</v>
      </c>
      <c r="B117" s="26">
        <v>23</v>
      </c>
      <c r="C117" s="27">
        <v>46218</v>
      </c>
      <c r="D117" s="28" t="s">
        <v>754</v>
      </c>
      <c r="E117" s="26">
        <v>20</v>
      </c>
      <c r="F117" s="26">
        <v>347</v>
      </c>
      <c r="G117" s="17" t="s">
        <v>291</v>
      </c>
      <c r="H117" s="28" t="s">
        <v>76</v>
      </c>
      <c r="I117" s="17" t="s">
        <v>292</v>
      </c>
      <c r="J117" s="17" t="s">
        <v>293</v>
      </c>
      <c r="K117" s="17" t="s">
        <v>52</v>
      </c>
      <c r="L117" s="28" t="s">
        <v>749</v>
      </c>
      <c r="M117" s="17" t="s">
        <v>755</v>
      </c>
      <c r="N117" s="17" t="s">
        <v>751</v>
      </c>
      <c r="O117" s="28" t="s">
        <v>756</v>
      </c>
      <c r="P117" s="28" t="s">
        <v>7</v>
      </c>
      <c r="Q117" s="28" t="s">
        <v>7</v>
      </c>
      <c r="R117" s="17"/>
      <c r="S117" s="18" t="s">
        <v>295</v>
      </c>
    </row>
    <row r="118" spans="1:19" ht="30" x14ac:dyDescent="0.25">
      <c r="A118" s="25">
        <v>111</v>
      </c>
      <c r="B118" s="26">
        <v>23</v>
      </c>
      <c r="C118" s="27">
        <v>46218</v>
      </c>
      <c r="D118" s="28" t="s">
        <v>763</v>
      </c>
      <c r="E118" s="26">
        <v>16</v>
      </c>
      <c r="F118" s="26">
        <v>226</v>
      </c>
      <c r="G118" s="17" t="s">
        <v>229</v>
      </c>
      <c r="H118" s="28" t="s">
        <v>49</v>
      </c>
      <c r="I118" s="17" t="s">
        <v>216</v>
      </c>
      <c r="J118" s="17" t="s">
        <v>230</v>
      </c>
      <c r="K118" s="17" t="s">
        <v>52</v>
      </c>
      <c r="L118" s="28" t="s">
        <v>749</v>
      </c>
      <c r="M118" s="17" t="s">
        <v>764</v>
      </c>
      <c r="N118" s="17" t="s">
        <v>774</v>
      </c>
      <c r="O118" s="28" t="s">
        <v>765</v>
      </c>
      <c r="P118" s="28" t="s">
        <v>7</v>
      </c>
      <c r="Q118" s="28" t="s">
        <v>7</v>
      </c>
      <c r="R118" s="17"/>
      <c r="S118" s="18" t="s">
        <v>232</v>
      </c>
    </row>
    <row r="119" spans="1:19" ht="30" x14ac:dyDescent="0.25">
      <c r="A119" s="25">
        <v>112</v>
      </c>
      <c r="B119" s="26">
        <v>23</v>
      </c>
      <c r="C119" s="27">
        <v>46218</v>
      </c>
      <c r="D119" s="28" t="s">
        <v>763</v>
      </c>
      <c r="E119" s="26">
        <v>16</v>
      </c>
      <c r="F119" s="26">
        <v>112</v>
      </c>
      <c r="G119" s="17" t="s">
        <v>233</v>
      </c>
      <c r="H119" s="28" t="s">
        <v>49</v>
      </c>
      <c r="I119" s="17" t="s">
        <v>216</v>
      </c>
      <c r="J119" s="17" t="s">
        <v>234</v>
      </c>
      <c r="K119" s="17" t="s">
        <v>52</v>
      </c>
      <c r="L119" s="28" t="s">
        <v>749</v>
      </c>
      <c r="M119" s="17" t="s">
        <v>764</v>
      </c>
      <c r="N119" s="17" t="s">
        <v>774</v>
      </c>
      <c r="O119" s="28" t="s">
        <v>765</v>
      </c>
      <c r="P119" s="28" t="s">
        <v>7</v>
      </c>
      <c r="Q119" s="28" t="s">
        <v>7</v>
      </c>
      <c r="R119" s="17"/>
      <c r="S119" s="18" t="s">
        <v>236</v>
      </c>
    </row>
    <row r="120" spans="1:19" ht="30" x14ac:dyDescent="0.25">
      <c r="A120" s="25">
        <v>113</v>
      </c>
      <c r="B120" s="26">
        <v>23</v>
      </c>
      <c r="C120" s="27">
        <v>46218</v>
      </c>
      <c r="D120" s="28" t="s">
        <v>763</v>
      </c>
      <c r="E120" s="26">
        <v>16</v>
      </c>
      <c r="F120" s="26">
        <v>110</v>
      </c>
      <c r="G120" s="17" t="s">
        <v>237</v>
      </c>
      <c r="H120" s="28" t="s">
        <v>49</v>
      </c>
      <c r="I120" s="17" t="s">
        <v>216</v>
      </c>
      <c r="J120" s="17" t="s">
        <v>238</v>
      </c>
      <c r="K120" s="17" t="s">
        <v>79</v>
      </c>
      <c r="L120" s="28" t="s">
        <v>759</v>
      </c>
      <c r="M120" s="17" t="s">
        <v>768</v>
      </c>
      <c r="N120" s="17" t="s">
        <v>774</v>
      </c>
      <c r="O120" s="28" t="s">
        <v>769</v>
      </c>
      <c r="P120" s="28" t="s">
        <v>7</v>
      </c>
      <c r="Q120" s="28" t="s">
        <v>7</v>
      </c>
      <c r="R120" s="17"/>
      <c r="S120" s="18" t="s">
        <v>240</v>
      </c>
    </row>
    <row r="121" spans="1:19" ht="30" x14ac:dyDescent="0.25">
      <c r="A121" s="25">
        <v>114</v>
      </c>
      <c r="B121" s="26">
        <v>24</v>
      </c>
      <c r="C121" s="27">
        <v>46219</v>
      </c>
      <c r="D121" s="28" t="s">
        <v>763</v>
      </c>
      <c r="E121" s="26">
        <v>17</v>
      </c>
      <c r="F121" s="26">
        <v>98</v>
      </c>
      <c r="G121" s="17" t="s">
        <v>241</v>
      </c>
      <c r="H121" s="28" t="s">
        <v>76</v>
      </c>
      <c r="I121" s="17" t="s">
        <v>242</v>
      </c>
      <c r="J121" s="17" t="s">
        <v>243</v>
      </c>
      <c r="K121" s="17" t="s">
        <v>52</v>
      </c>
      <c r="L121" s="28" t="s">
        <v>749</v>
      </c>
      <c r="M121" s="17" t="s">
        <v>764</v>
      </c>
      <c r="N121" s="17" t="s">
        <v>774</v>
      </c>
      <c r="O121" s="28" t="s">
        <v>765</v>
      </c>
      <c r="P121" s="28" t="s">
        <v>7</v>
      </c>
      <c r="Q121" s="28" t="s">
        <v>7</v>
      </c>
      <c r="R121" s="17"/>
      <c r="S121" s="18" t="s">
        <v>245</v>
      </c>
    </row>
    <row r="122" spans="1:19" x14ac:dyDescent="0.25">
      <c r="A122" s="25">
        <v>115</v>
      </c>
      <c r="B122" s="26">
        <v>24</v>
      </c>
      <c r="C122" s="27">
        <v>46219</v>
      </c>
      <c r="D122" s="28" t="s">
        <v>748</v>
      </c>
      <c r="E122" s="26">
        <v>23</v>
      </c>
      <c r="F122" s="26">
        <v>994</v>
      </c>
      <c r="G122" s="17" t="s">
        <v>315</v>
      </c>
      <c r="H122" s="28" t="s">
        <v>76</v>
      </c>
      <c r="I122" s="17" t="s">
        <v>316</v>
      </c>
      <c r="J122" s="17" t="s">
        <v>317</v>
      </c>
      <c r="K122" s="17" t="s">
        <v>52</v>
      </c>
      <c r="L122" s="28" t="s">
        <v>749</v>
      </c>
      <c r="M122" s="17" t="s">
        <v>750</v>
      </c>
      <c r="N122" s="17" t="s">
        <v>780</v>
      </c>
      <c r="O122" s="28" t="s">
        <v>752</v>
      </c>
      <c r="P122" s="28" t="s">
        <v>7</v>
      </c>
      <c r="Q122" s="28" t="s">
        <v>7</v>
      </c>
      <c r="R122" s="17"/>
      <c r="S122" s="18" t="s">
        <v>319</v>
      </c>
    </row>
    <row r="123" spans="1:19" ht="30" x14ac:dyDescent="0.25">
      <c r="A123" s="25">
        <v>116</v>
      </c>
      <c r="B123" s="26">
        <v>24</v>
      </c>
      <c r="C123" s="27">
        <v>46219</v>
      </c>
      <c r="D123" s="28" t="s">
        <v>763</v>
      </c>
      <c r="E123" s="26">
        <v>17</v>
      </c>
      <c r="F123" s="26">
        <v>235</v>
      </c>
      <c r="G123" s="17" t="s">
        <v>246</v>
      </c>
      <c r="H123" s="28" t="s">
        <v>76</v>
      </c>
      <c r="I123" s="17" t="s">
        <v>242</v>
      </c>
      <c r="J123" s="17" t="s">
        <v>247</v>
      </c>
      <c r="K123" s="17" t="s">
        <v>79</v>
      </c>
      <c r="L123" s="28" t="s">
        <v>759</v>
      </c>
      <c r="M123" s="17" t="s">
        <v>768</v>
      </c>
      <c r="N123" s="17" t="s">
        <v>774</v>
      </c>
      <c r="O123" s="28" t="s">
        <v>769</v>
      </c>
      <c r="P123" s="28" t="s">
        <v>7</v>
      </c>
      <c r="Q123" s="28" t="s">
        <v>7</v>
      </c>
      <c r="R123" s="17"/>
      <c r="S123" s="18" t="s">
        <v>249</v>
      </c>
    </row>
    <row r="124" spans="1:19" ht="30" x14ac:dyDescent="0.25">
      <c r="A124" s="25">
        <v>117</v>
      </c>
      <c r="B124" s="26">
        <v>24</v>
      </c>
      <c r="C124" s="27">
        <v>46219</v>
      </c>
      <c r="D124" s="28" t="s">
        <v>758</v>
      </c>
      <c r="E124" s="26">
        <v>22</v>
      </c>
      <c r="F124" s="26">
        <v>695</v>
      </c>
      <c r="G124" s="17" t="s">
        <v>311</v>
      </c>
      <c r="H124" s="28" t="s">
        <v>76</v>
      </c>
      <c r="I124" s="17" t="s">
        <v>304</v>
      </c>
      <c r="J124" s="17" t="s">
        <v>312</v>
      </c>
      <c r="K124" s="17" t="s">
        <v>79</v>
      </c>
      <c r="L124" s="28" t="s">
        <v>759</v>
      </c>
      <c r="M124" s="17" t="s">
        <v>760</v>
      </c>
      <c r="N124" s="17" t="s">
        <v>780</v>
      </c>
      <c r="O124" s="28" t="s">
        <v>761</v>
      </c>
      <c r="P124" s="28" t="s">
        <v>7</v>
      </c>
      <c r="Q124" s="28" t="s">
        <v>7</v>
      </c>
      <c r="R124" s="17"/>
      <c r="S124" s="18" t="s">
        <v>314</v>
      </c>
    </row>
    <row r="125" spans="1:19" ht="30" x14ac:dyDescent="0.25">
      <c r="A125" s="25">
        <v>118</v>
      </c>
      <c r="B125" s="26">
        <v>24</v>
      </c>
      <c r="C125" s="27">
        <v>46219</v>
      </c>
      <c r="D125" s="28" t="s">
        <v>754</v>
      </c>
      <c r="E125" s="26">
        <v>21</v>
      </c>
      <c r="F125" s="26">
        <v>215</v>
      </c>
      <c r="G125" s="17" t="s">
        <v>781</v>
      </c>
      <c r="H125" s="28" t="s">
        <v>76</v>
      </c>
      <c r="I125" s="17" t="s">
        <v>287</v>
      </c>
      <c r="J125" s="17" t="s">
        <v>288</v>
      </c>
      <c r="K125" s="17" t="s">
        <v>119</v>
      </c>
      <c r="L125" s="28" t="s">
        <v>759</v>
      </c>
      <c r="M125" s="17" t="s">
        <v>767</v>
      </c>
      <c r="N125" s="17" t="s">
        <v>779</v>
      </c>
      <c r="O125" s="28" t="s">
        <v>756</v>
      </c>
      <c r="P125" s="28" t="s">
        <v>7</v>
      </c>
      <c r="Q125" s="28" t="s">
        <v>7</v>
      </c>
      <c r="R125" s="17"/>
      <c r="S125" s="18" t="s">
        <v>290</v>
      </c>
    </row>
    <row r="126" spans="1:19" ht="30" x14ac:dyDescent="0.25">
      <c r="A126" s="25">
        <v>119</v>
      </c>
      <c r="B126" s="26">
        <v>24</v>
      </c>
      <c r="C126" s="27">
        <v>46219</v>
      </c>
      <c r="D126" s="28" t="s">
        <v>763</v>
      </c>
      <c r="E126" s="26">
        <v>17</v>
      </c>
      <c r="F126" s="26">
        <v>230</v>
      </c>
      <c r="G126" s="17" t="s">
        <v>250</v>
      </c>
      <c r="H126" s="28" t="s">
        <v>76</v>
      </c>
      <c r="I126" s="17" t="s">
        <v>242</v>
      </c>
      <c r="J126" s="17" t="s">
        <v>251</v>
      </c>
      <c r="K126" s="17" t="s">
        <v>103</v>
      </c>
      <c r="L126" s="28" t="s">
        <v>771</v>
      </c>
      <c r="M126" s="17" t="s">
        <v>772</v>
      </c>
      <c r="N126" s="17" t="s">
        <v>774</v>
      </c>
      <c r="O126" s="28" t="s">
        <v>765</v>
      </c>
      <c r="P126" s="28" t="s">
        <v>7</v>
      </c>
      <c r="Q126" s="28" t="s">
        <v>7</v>
      </c>
      <c r="R126" s="17"/>
      <c r="S126" s="18" t="s">
        <v>253</v>
      </c>
    </row>
    <row r="127" spans="1:19" x14ac:dyDescent="0.25">
      <c r="A127" s="25">
        <v>120</v>
      </c>
      <c r="B127" s="26">
        <v>25</v>
      </c>
      <c r="C127" s="27">
        <v>46220</v>
      </c>
      <c r="D127" s="28" t="s">
        <v>748</v>
      </c>
      <c r="E127" s="26">
        <v>24</v>
      </c>
      <c r="F127" s="26">
        <v>547</v>
      </c>
      <c r="G127" s="17" t="s">
        <v>331</v>
      </c>
      <c r="H127" s="28" t="s">
        <v>76</v>
      </c>
      <c r="I127" s="17" t="s">
        <v>332</v>
      </c>
      <c r="J127" s="17" t="s">
        <v>333</v>
      </c>
      <c r="K127" s="17" t="s">
        <v>52</v>
      </c>
      <c r="L127" s="28" t="s">
        <v>749</v>
      </c>
      <c r="M127" s="17" t="s">
        <v>750</v>
      </c>
      <c r="N127" s="17" t="s">
        <v>780</v>
      </c>
      <c r="O127" s="28" t="s">
        <v>752</v>
      </c>
      <c r="P127" s="28" t="s">
        <v>7</v>
      </c>
      <c r="Q127" s="28" t="s">
        <v>7</v>
      </c>
      <c r="R127" s="17"/>
      <c r="S127" s="18" t="s">
        <v>335</v>
      </c>
    </row>
    <row r="128" spans="1:19" x14ac:dyDescent="0.25">
      <c r="A128" s="25">
        <v>121</v>
      </c>
      <c r="B128" s="26">
        <v>25</v>
      </c>
      <c r="C128" s="27">
        <v>46220</v>
      </c>
      <c r="D128" s="28" t="s">
        <v>748</v>
      </c>
      <c r="E128" s="26">
        <v>24</v>
      </c>
      <c r="F128" s="26">
        <v>1971</v>
      </c>
      <c r="G128" s="17" t="s">
        <v>337</v>
      </c>
      <c r="H128" s="28" t="s">
        <v>49</v>
      </c>
      <c r="I128" s="17" t="s">
        <v>304</v>
      </c>
      <c r="J128" s="17" t="s">
        <v>338</v>
      </c>
      <c r="K128" s="17" t="s">
        <v>52</v>
      </c>
      <c r="L128" s="28" t="s">
        <v>749</v>
      </c>
      <c r="M128" s="17" t="s">
        <v>750</v>
      </c>
      <c r="N128" s="17" t="s">
        <v>780</v>
      </c>
      <c r="O128" s="28" t="s">
        <v>752</v>
      </c>
      <c r="P128" s="28" t="s">
        <v>7</v>
      </c>
      <c r="Q128" s="28" t="s">
        <v>7</v>
      </c>
      <c r="R128" s="17"/>
      <c r="S128" s="18" t="s">
        <v>340</v>
      </c>
    </row>
    <row r="129" spans="1:19" ht="30" x14ac:dyDescent="0.25">
      <c r="A129" s="25">
        <v>122</v>
      </c>
      <c r="B129" s="26">
        <v>25</v>
      </c>
      <c r="C129" s="27">
        <v>46220</v>
      </c>
      <c r="D129" s="28" t="s">
        <v>754</v>
      </c>
      <c r="E129" s="26">
        <v>22</v>
      </c>
      <c r="F129" s="26">
        <v>733</v>
      </c>
      <c r="G129" s="17" t="s">
        <v>308</v>
      </c>
      <c r="H129" s="28" t="s">
        <v>49</v>
      </c>
      <c r="I129" s="17" t="s">
        <v>304</v>
      </c>
      <c r="J129" s="17" t="s">
        <v>305</v>
      </c>
      <c r="K129" s="17" t="s">
        <v>52</v>
      </c>
      <c r="L129" s="28" t="s">
        <v>749</v>
      </c>
      <c r="M129" s="17" t="s">
        <v>755</v>
      </c>
      <c r="N129" s="17" t="s">
        <v>780</v>
      </c>
      <c r="O129" s="28" t="s">
        <v>756</v>
      </c>
      <c r="P129" s="28" t="s">
        <v>7</v>
      </c>
      <c r="Q129" s="28" t="s">
        <v>7</v>
      </c>
      <c r="R129" s="17"/>
      <c r="S129" s="18" t="s">
        <v>310</v>
      </c>
    </row>
    <row r="130" spans="1:19" ht="30" x14ac:dyDescent="0.25">
      <c r="A130" s="25">
        <v>123</v>
      </c>
      <c r="B130" s="26">
        <v>25</v>
      </c>
      <c r="C130" s="27">
        <v>46220</v>
      </c>
      <c r="D130" s="28" t="s">
        <v>754</v>
      </c>
      <c r="E130" s="26">
        <v>22</v>
      </c>
      <c r="F130" s="26">
        <v>200</v>
      </c>
      <c r="G130" s="17" t="s">
        <v>303</v>
      </c>
      <c r="H130" s="28" t="s">
        <v>76</v>
      </c>
      <c r="I130" s="17" t="s">
        <v>304</v>
      </c>
      <c r="J130" s="17" t="s">
        <v>305</v>
      </c>
      <c r="K130" s="17" t="s">
        <v>52</v>
      </c>
      <c r="L130" s="28" t="s">
        <v>749</v>
      </c>
      <c r="M130" s="17" t="s">
        <v>755</v>
      </c>
      <c r="N130" s="17" t="s">
        <v>780</v>
      </c>
      <c r="O130" s="28" t="s">
        <v>756</v>
      </c>
      <c r="P130" s="28" t="s">
        <v>7</v>
      </c>
      <c r="Q130" s="28" t="s">
        <v>7</v>
      </c>
      <c r="R130" s="17"/>
      <c r="S130" s="18" t="s">
        <v>307</v>
      </c>
    </row>
    <row r="131" spans="1:19" ht="30" x14ac:dyDescent="0.25">
      <c r="A131" s="25">
        <v>124</v>
      </c>
      <c r="B131" s="26">
        <v>25</v>
      </c>
      <c r="C131" s="27">
        <v>46220</v>
      </c>
      <c r="D131" s="28" t="s">
        <v>763</v>
      </c>
      <c r="E131" s="26">
        <v>18</v>
      </c>
      <c r="F131" s="26">
        <v>102</v>
      </c>
      <c r="G131" s="17" t="s">
        <v>254</v>
      </c>
      <c r="H131" s="28" t="s">
        <v>76</v>
      </c>
      <c r="I131" s="17" t="s">
        <v>255</v>
      </c>
      <c r="J131" s="17" t="s">
        <v>256</v>
      </c>
      <c r="K131" s="17" t="s">
        <v>52</v>
      </c>
      <c r="L131" s="28" t="s">
        <v>749</v>
      </c>
      <c r="M131" s="17" t="s">
        <v>764</v>
      </c>
      <c r="N131" s="17" t="s">
        <v>774</v>
      </c>
      <c r="O131" s="28" t="s">
        <v>765</v>
      </c>
      <c r="P131" s="28" t="s">
        <v>7</v>
      </c>
      <c r="Q131" s="28" t="s">
        <v>7</v>
      </c>
      <c r="R131" s="17"/>
      <c r="S131" s="18" t="s">
        <v>258</v>
      </c>
    </row>
    <row r="132" spans="1:19" ht="30" x14ac:dyDescent="0.25">
      <c r="A132" s="25">
        <v>125</v>
      </c>
      <c r="B132" s="26">
        <v>25</v>
      </c>
      <c r="C132" s="27">
        <v>46220</v>
      </c>
      <c r="D132" s="28" t="s">
        <v>758</v>
      </c>
      <c r="E132" s="26">
        <v>23</v>
      </c>
      <c r="F132" s="26">
        <v>207</v>
      </c>
      <c r="G132" s="17" t="s">
        <v>320</v>
      </c>
      <c r="H132" s="28" t="s">
        <v>76</v>
      </c>
      <c r="I132" s="17" t="s">
        <v>321</v>
      </c>
      <c r="J132" s="17" t="s">
        <v>322</v>
      </c>
      <c r="K132" s="17" t="s">
        <v>79</v>
      </c>
      <c r="L132" s="28" t="s">
        <v>759</v>
      </c>
      <c r="M132" s="17" t="s">
        <v>760</v>
      </c>
      <c r="N132" s="17" t="s">
        <v>780</v>
      </c>
      <c r="O132" s="28" t="s">
        <v>761</v>
      </c>
      <c r="P132" s="28" t="s">
        <v>7</v>
      </c>
      <c r="Q132" s="28" t="s">
        <v>7</v>
      </c>
      <c r="R132" s="17"/>
      <c r="S132" s="18" t="s">
        <v>325</v>
      </c>
    </row>
    <row r="133" spans="1:19" ht="30" x14ac:dyDescent="0.25">
      <c r="A133" s="25">
        <v>126</v>
      </c>
      <c r="B133" s="26">
        <v>25</v>
      </c>
      <c r="C133" s="27">
        <v>46220</v>
      </c>
      <c r="D133" s="28" t="s">
        <v>763</v>
      </c>
      <c r="E133" s="26">
        <v>18</v>
      </c>
      <c r="F133" s="26">
        <v>199</v>
      </c>
      <c r="G133" s="17" t="s">
        <v>259</v>
      </c>
      <c r="H133" s="28" t="s">
        <v>76</v>
      </c>
      <c r="I133" s="17" t="s">
        <v>255</v>
      </c>
      <c r="J133" s="17" t="s">
        <v>256</v>
      </c>
      <c r="K133" s="17" t="s">
        <v>79</v>
      </c>
      <c r="L133" s="28" t="s">
        <v>759</v>
      </c>
      <c r="M133" s="17" t="s">
        <v>768</v>
      </c>
      <c r="N133" s="17" t="s">
        <v>774</v>
      </c>
      <c r="O133" s="28" t="s">
        <v>769</v>
      </c>
      <c r="P133" s="28" t="s">
        <v>7</v>
      </c>
      <c r="Q133" s="28" t="s">
        <v>7</v>
      </c>
      <c r="R133" s="17"/>
      <c r="S133" s="18" t="s">
        <v>261</v>
      </c>
    </row>
    <row r="134" spans="1:19" ht="30" x14ac:dyDescent="0.25">
      <c r="A134" s="25">
        <v>127</v>
      </c>
      <c r="B134" s="26">
        <v>25</v>
      </c>
      <c r="C134" s="27">
        <v>46220</v>
      </c>
      <c r="D134" s="28" t="s">
        <v>763</v>
      </c>
      <c r="E134" s="26">
        <v>18</v>
      </c>
      <c r="F134" s="26">
        <v>637</v>
      </c>
      <c r="G134" s="17" t="s">
        <v>262</v>
      </c>
      <c r="H134" s="28" t="s">
        <v>49</v>
      </c>
      <c r="I134" s="17" t="s">
        <v>255</v>
      </c>
      <c r="J134" s="17" t="s">
        <v>263</v>
      </c>
      <c r="K134" s="17" t="s">
        <v>103</v>
      </c>
      <c r="L134" s="28" t="s">
        <v>771</v>
      </c>
      <c r="M134" s="17" t="s">
        <v>772</v>
      </c>
      <c r="N134" s="17" t="s">
        <v>774</v>
      </c>
      <c r="O134" s="28" t="s">
        <v>765</v>
      </c>
      <c r="P134" s="28" t="s">
        <v>7</v>
      </c>
      <c r="Q134" s="28" t="s">
        <v>7</v>
      </c>
      <c r="R134" s="17"/>
      <c r="S134" s="18" t="s">
        <v>265</v>
      </c>
    </row>
    <row r="135" spans="1:19" x14ac:dyDescent="0.25">
      <c r="A135" s="25">
        <v>128</v>
      </c>
      <c r="B135" s="26">
        <v>26</v>
      </c>
      <c r="C135" s="27">
        <v>46221</v>
      </c>
      <c r="D135" s="28" t="s">
        <v>748</v>
      </c>
      <c r="E135" s="26">
        <v>25</v>
      </c>
      <c r="F135" s="26">
        <v>46</v>
      </c>
      <c r="G135" s="17" t="s">
        <v>346</v>
      </c>
      <c r="H135" s="28" t="s">
        <v>76</v>
      </c>
      <c r="I135" s="17" t="s">
        <v>347</v>
      </c>
      <c r="J135" s="17" t="s">
        <v>348</v>
      </c>
      <c r="K135" s="17" t="s">
        <v>52</v>
      </c>
      <c r="L135" s="28" t="s">
        <v>749</v>
      </c>
      <c r="M135" s="17" t="s">
        <v>750</v>
      </c>
      <c r="N135" s="17" t="s">
        <v>782</v>
      </c>
      <c r="O135" s="28" t="s">
        <v>752</v>
      </c>
      <c r="P135" s="28" t="s">
        <v>7</v>
      </c>
      <c r="Q135" s="28" t="s">
        <v>7</v>
      </c>
      <c r="R135" s="17"/>
      <c r="S135" s="18" t="s">
        <v>350</v>
      </c>
    </row>
    <row r="136" spans="1:19" x14ac:dyDescent="0.25">
      <c r="A136" s="25">
        <v>129</v>
      </c>
      <c r="B136" s="26">
        <v>26</v>
      </c>
      <c r="C136" s="27">
        <v>46221</v>
      </c>
      <c r="D136" s="28" t="s">
        <v>748</v>
      </c>
      <c r="E136" s="26">
        <v>25</v>
      </c>
      <c r="F136" s="26">
        <v>78</v>
      </c>
      <c r="G136" s="17" t="s">
        <v>351</v>
      </c>
      <c r="H136" s="28" t="s">
        <v>76</v>
      </c>
      <c r="I136" s="17" t="s">
        <v>347</v>
      </c>
      <c r="J136" s="17" t="s">
        <v>352</v>
      </c>
      <c r="K136" s="17" t="s">
        <v>52</v>
      </c>
      <c r="L136" s="28" t="s">
        <v>749</v>
      </c>
      <c r="M136" s="17" t="s">
        <v>750</v>
      </c>
      <c r="N136" s="17" t="s">
        <v>782</v>
      </c>
      <c r="O136" s="28" t="s">
        <v>752</v>
      </c>
      <c r="P136" s="28" t="s">
        <v>7</v>
      </c>
      <c r="Q136" s="28" t="s">
        <v>7</v>
      </c>
      <c r="R136" s="17"/>
      <c r="S136" s="18" t="s">
        <v>354</v>
      </c>
    </row>
    <row r="137" spans="1:19" ht="30" x14ac:dyDescent="0.25">
      <c r="A137" s="25">
        <v>130</v>
      </c>
      <c r="B137" s="26">
        <v>26</v>
      </c>
      <c r="C137" s="27">
        <v>46221</v>
      </c>
      <c r="D137" s="28" t="s">
        <v>754</v>
      </c>
      <c r="E137" s="26">
        <v>23</v>
      </c>
      <c r="F137" s="26">
        <v>994</v>
      </c>
      <c r="G137" s="17" t="s">
        <v>315</v>
      </c>
      <c r="H137" s="28" t="s">
        <v>76</v>
      </c>
      <c r="I137" s="17" t="s">
        <v>316</v>
      </c>
      <c r="J137" s="17" t="s">
        <v>317</v>
      </c>
      <c r="K137" s="17" t="s">
        <v>52</v>
      </c>
      <c r="L137" s="28" t="s">
        <v>749</v>
      </c>
      <c r="M137" s="17" t="s">
        <v>755</v>
      </c>
      <c r="N137" s="17" t="s">
        <v>780</v>
      </c>
      <c r="O137" s="28" t="s">
        <v>756</v>
      </c>
      <c r="P137" s="28" t="s">
        <v>7</v>
      </c>
      <c r="Q137" s="28" t="s">
        <v>7</v>
      </c>
      <c r="R137" s="17"/>
      <c r="S137" s="18" t="s">
        <v>319</v>
      </c>
    </row>
    <row r="138" spans="1:19" ht="30" x14ac:dyDescent="0.25">
      <c r="A138" s="25">
        <v>131</v>
      </c>
      <c r="B138" s="26">
        <v>26</v>
      </c>
      <c r="C138" s="27">
        <v>46221</v>
      </c>
      <c r="D138" s="28" t="s">
        <v>763</v>
      </c>
      <c r="E138" s="26">
        <v>19</v>
      </c>
      <c r="F138" s="26">
        <v>56</v>
      </c>
      <c r="G138" s="17" t="s">
        <v>266</v>
      </c>
      <c r="H138" s="28" t="s">
        <v>76</v>
      </c>
      <c r="I138" s="17" t="s">
        <v>267</v>
      </c>
      <c r="J138" s="17" t="s">
        <v>268</v>
      </c>
      <c r="K138" s="17" t="s">
        <v>52</v>
      </c>
      <c r="L138" s="28" t="s">
        <v>749</v>
      </c>
      <c r="M138" s="17" t="s">
        <v>764</v>
      </c>
      <c r="N138" s="17" t="s">
        <v>778</v>
      </c>
      <c r="O138" s="28" t="s">
        <v>765</v>
      </c>
      <c r="P138" s="28" t="s">
        <v>7</v>
      </c>
      <c r="Q138" s="28" t="s">
        <v>7</v>
      </c>
      <c r="R138" s="17"/>
      <c r="S138" s="18" t="s">
        <v>270</v>
      </c>
    </row>
    <row r="139" spans="1:19" ht="30" x14ac:dyDescent="0.25">
      <c r="A139" s="25">
        <v>132</v>
      </c>
      <c r="B139" s="26">
        <v>26</v>
      </c>
      <c r="C139" s="27">
        <v>46221</v>
      </c>
      <c r="D139" s="28" t="s">
        <v>763</v>
      </c>
      <c r="E139" s="26">
        <v>19</v>
      </c>
      <c r="F139" s="26">
        <v>57</v>
      </c>
      <c r="G139" s="17" t="s">
        <v>271</v>
      </c>
      <c r="H139" s="28" t="s">
        <v>76</v>
      </c>
      <c r="I139" s="17" t="s">
        <v>272</v>
      </c>
      <c r="J139" s="17" t="s">
        <v>273</v>
      </c>
      <c r="K139" s="17" t="s">
        <v>79</v>
      </c>
      <c r="L139" s="28" t="s">
        <v>759</v>
      </c>
      <c r="M139" s="17" t="s">
        <v>768</v>
      </c>
      <c r="N139" s="17" t="s">
        <v>778</v>
      </c>
      <c r="O139" s="28" t="s">
        <v>769</v>
      </c>
      <c r="P139" s="28" t="s">
        <v>7</v>
      </c>
      <c r="Q139" s="28" t="s">
        <v>7</v>
      </c>
      <c r="R139" s="17"/>
      <c r="S139" s="18" t="s">
        <v>275</v>
      </c>
    </row>
    <row r="140" spans="1:19" ht="30" x14ac:dyDescent="0.25">
      <c r="A140" s="25">
        <v>133</v>
      </c>
      <c r="B140" s="26">
        <v>26</v>
      </c>
      <c r="C140" s="27">
        <v>46221</v>
      </c>
      <c r="D140" s="28" t="s">
        <v>763</v>
      </c>
      <c r="E140" s="26">
        <v>19</v>
      </c>
      <c r="F140" s="26">
        <v>986</v>
      </c>
      <c r="G140" s="17" t="s">
        <v>276</v>
      </c>
      <c r="H140" s="28" t="s">
        <v>76</v>
      </c>
      <c r="I140" s="17" t="s">
        <v>277</v>
      </c>
      <c r="J140" s="17" t="s">
        <v>278</v>
      </c>
      <c r="K140" s="17" t="s">
        <v>103</v>
      </c>
      <c r="L140" s="28" t="s">
        <v>771</v>
      </c>
      <c r="M140" s="17" t="s">
        <v>772</v>
      </c>
      <c r="N140" s="17" t="s">
        <v>757</v>
      </c>
      <c r="O140" s="28" t="s">
        <v>765</v>
      </c>
      <c r="P140" s="28" t="s">
        <v>7</v>
      </c>
      <c r="Q140" s="28" t="s">
        <v>7</v>
      </c>
      <c r="R140" s="17"/>
      <c r="S140" s="18" t="s">
        <v>280</v>
      </c>
    </row>
    <row r="141" spans="1:19" ht="30" x14ac:dyDescent="0.25">
      <c r="A141" s="25">
        <v>134</v>
      </c>
      <c r="B141" s="26">
        <v>27</v>
      </c>
      <c r="C141" s="27">
        <v>46222</v>
      </c>
      <c r="D141" s="28" t="s">
        <v>748</v>
      </c>
      <c r="E141" s="26">
        <v>26</v>
      </c>
      <c r="F141" s="26">
        <v>17</v>
      </c>
      <c r="G141" s="17" t="s">
        <v>359</v>
      </c>
      <c r="H141" s="28" t="s">
        <v>76</v>
      </c>
      <c r="I141" s="17" t="s">
        <v>347</v>
      </c>
      <c r="J141" s="17" t="s">
        <v>360</v>
      </c>
      <c r="K141" s="17" t="s">
        <v>52</v>
      </c>
      <c r="L141" s="28" t="s">
        <v>749</v>
      </c>
      <c r="M141" s="17" t="s">
        <v>750</v>
      </c>
      <c r="N141" s="17" t="s">
        <v>782</v>
      </c>
      <c r="O141" s="28" t="s">
        <v>752</v>
      </c>
      <c r="P141" s="28" t="s">
        <v>7</v>
      </c>
      <c r="Q141" s="28" t="s">
        <v>7</v>
      </c>
      <c r="R141" s="17"/>
      <c r="S141" s="18" t="s">
        <v>362</v>
      </c>
    </row>
    <row r="142" spans="1:19" ht="30" x14ac:dyDescent="0.25">
      <c r="A142" s="25">
        <v>135</v>
      </c>
      <c r="B142" s="26">
        <v>27</v>
      </c>
      <c r="C142" s="27">
        <v>46222</v>
      </c>
      <c r="D142" s="28" t="s">
        <v>754</v>
      </c>
      <c r="E142" s="26">
        <v>24</v>
      </c>
      <c r="F142" s="26">
        <v>547</v>
      </c>
      <c r="G142" s="17" t="s">
        <v>331</v>
      </c>
      <c r="H142" s="28" t="s">
        <v>76</v>
      </c>
      <c r="I142" s="17" t="s">
        <v>332</v>
      </c>
      <c r="J142" s="17" t="s">
        <v>333</v>
      </c>
      <c r="K142" s="17" t="s">
        <v>52</v>
      </c>
      <c r="L142" s="28" t="s">
        <v>749</v>
      </c>
      <c r="M142" s="17" t="s">
        <v>755</v>
      </c>
      <c r="N142" s="17" t="s">
        <v>780</v>
      </c>
      <c r="O142" s="28" t="s">
        <v>756</v>
      </c>
      <c r="P142" s="28" t="s">
        <v>7</v>
      </c>
      <c r="Q142" s="28" t="s">
        <v>7</v>
      </c>
      <c r="R142" s="17"/>
      <c r="S142" s="18" t="s">
        <v>335</v>
      </c>
    </row>
    <row r="143" spans="1:19" ht="30" x14ac:dyDescent="0.25">
      <c r="A143" s="25">
        <v>136</v>
      </c>
      <c r="B143" s="26">
        <v>27</v>
      </c>
      <c r="C143" s="27">
        <v>46222</v>
      </c>
      <c r="D143" s="28" t="s">
        <v>754</v>
      </c>
      <c r="E143" s="26">
        <v>24</v>
      </c>
      <c r="F143" s="26">
        <v>1971</v>
      </c>
      <c r="G143" s="17" t="s">
        <v>337</v>
      </c>
      <c r="H143" s="28" t="s">
        <v>49</v>
      </c>
      <c r="I143" s="17" t="s">
        <v>304</v>
      </c>
      <c r="J143" s="17" t="s">
        <v>338</v>
      </c>
      <c r="K143" s="17" t="s">
        <v>52</v>
      </c>
      <c r="L143" s="28" t="s">
        <v>749</v>
      </c>
      <c r="M143" s="17" t="s">
        <v>755</v>
      </c>
      <c r="N143" s="17" t="s">
        <v>780</v>
      </c>
      <c r="O143" s="28" t="s">
        <v>756</v>
      </c>
      <c r="P143" s="28" t="s">
        <v>7</v>
      </c>
      <c r="Q143" s="28" t="s">
        <v>7</v>
      </c>
      <c r="R143" s="17"/>
      <c r="S143" s="18" t="s">
        <v>340</v>
      </c>
    </row>
    <row r="144" spans="1:19" ht="30" x14ac:dyDescent="0.25">
      <c r="A144" s="25">
        <v>137</v>
      </c>
      <c r="B144" s="26">
        <v>27</v>
      </c>
      <c r="C144" s="27">
        <v>46222</v>
      </c>
      <c r="D144" s="28" t="s">
        <v>763</v>
      </c>
      <c r="E144" s="26">
        <v>20</v>
      </c>
      <c r="F144" s="26">
        <v>703</v>
      </c>
      <c r="G144" s="17" t="s">
        <v>281</v>
      </c>
      <c r="H144" s="28" t="s">
        <v>49</v>
      </c>
      <c r="I144" s="17" t="s">
        <v>282</v>
      </c>
      <c r="J144" s="17" t="s">
        <v>283</v>
      </c>
      <c r="K144" s="17" t="s">
        <v>52</v>
      </c>
      <c r="L144" s="28" t="s">
        <v>749</v>
      </c>
      <c r="M144" s="17" t="s">
        <v>764</v>
      </c>
      <c r="N144" s="17" t="s">
        <v>779</v>
      </c>
      <c r="O144" s="28" t="s">
        <v>765</v>
      </c>
      <c r="P144" s="28" t="s">
        <v>7</v>
      </c>
      <c r="Q144" s="28" t="s">
        <v>7</v>
      </c>
      <c r="R144" s="17"/>
      <c r="S144" s="18" t="s">
        <v>285</v>
      </c>
    </row>
    <row r="145" spans="1:19" ht="30" x14ac:dyDescent="0.25">
      <c r="A145" s="25">
        <v>138</v>
      </c>
      <c r="B145" s="26">
        <v>27</v>
      </c>
      <c r="C145" s="27">
        <v>46222</v>
      </c>
      <c r="D145" s="28" t="s">
        <v>763</v>
      </c>
      <c r="E145" s="26">
        <v>20</v>
      </c>
      <c r="F145" s="26">
        <v>347</v>
      </c>
      <c r="G145" s="17" t="s">
        <v>291</v>
      </c>
      <c r="H145" s="28" t="s">
        <v>76</v>
      </c>
      <c r="I145" s="17" t="s">
        <v>292</v>
      </c>
      <c r="J145" s="17" t="s">
        <v>293</v>
      </c>
      <c r="K145" s="17" t="s">
        <v>52</v>
      </c>
      <c r="L145" s="28" t="s">
        <v>749</v>
      </c>
      <c r="M145" s="17" t="s">
        <v>764</v>
      </c>
      <c r="N145" s="17" t="s">
        <v>751</v>
      </c>
      <c r="O145" s="28" t="s">
        <v>765</v>
      </c>
      <c r="P145" s="28" t="s">
        <v>7</v>
      </c>
      <c r="Q145" s="28" t="s">
        <v>7</v>
      </c>
      <c r="R145" s="17"/>
      <c r="S145" s="18" t="s">
        <v>295</v>
      </c>
    </row>
    <row r="146" spans="1:19" ht="30" x14ac:dyDescent="0.25">
      <c r="A146" s="25">
        <v>139</v>
      </c>
      <c r="B146" s="26">
        <v>27</v>
      </c>
      <c r="C146" s="27">
        <v>46222</v>
      </c>
      <c r="D146" s="28" t="s">
        <v>758</v>
      </c>
      <c r="E146" s="26">
        <v>25</v>
      </c>
      <c r="F146" s="26">
        <v>39</v>
      </c>
      <c r="G146" s="17" t="s">
        <v>355</v>
      </c>
      <c r="H146" s="28" t="s">
        <v>76</v>
      </c>
      <c r="I146" s="17" t="s">
        <v>347</v>
      </c>
      <c r="J146" s="17" t="s">
        <v>356</v>
      </c>
      <c r="K146" s="17" t="s">
        <v>79</v>
      </c>
      <c r="L146" s="28" t="s">
        <v>759</v>
      </c>
      <c r="M146" s="17" t="s">
        <v>760</v>
      </c>
      <c r="N146" s="17" t="s">
        <v>782</v>
      </c>
      <c r="O146" s="28" t="s">
        <v>761</v>
      </c>
      <c r="P146" s="28" t="s">
        <v>7</v>
      </c>
      <c r="Q146" s="28" t="s">
        <v>7</v>
      </c>
      <c r="R146" s="17"/>
      <c r="S146" s="18" t="s">
        <v>358</v>
      </c>
    </row>
    <row r="147" spans="1:19" ht="30" x14ac:dyDescent="0.25">
      <c r="A147" s="25">
        <v>140</v>
      </c>
      <c r="B147" s="26">
        <v>27</v>
      </c>
      <c r="C147" s="27">
        <v>46222</v>
      </c>
      <c r="D147" s="28" t="s">
        <v>763</v>
      </c>
      <c r="E147" s="26">
        <v>20</v>
      </c>
      <c r="F147" s="26">
        <v>215</v>
      </c>
      <c r="G147" s="17" t="s">
        <v>286</v>
      </c>
      <c r="H147" s="28" t="s">
        <v>76</v>
      </c>
      <c r="I147" s="17" t="s">
        <v>287</v>
      </c>
      <c r="J147" s="17" t="s">
        <v>288</v>
      </c>
      <c r="K147" s="17" t="s">
        <v>79</v>
      </c>
      <c r="L147" s="28" t="s">
        <v>759</v>
      </c>
      <c r="M147" s="17" t="s">
        <v>768</v>
      </c>
      <c r="N147" s="17" t="s">
        <v>779</v>
      </c>
      <c r="O147" s="28" t="s">
        <v>769</v>
      </c>
      <c r="P147" s="28" t="s">
        <v>7</v>
      </c>
      <c r="Q147" s="28" t="s">
        <v>7</v>
      </c>
      <c r="R147" s="17"/>
      <c r="S147" s="18" t="s">
        <v>290</v>
      </c>
    </row>
    <row r="148" spans="1:19" ht="30" x14ac:dyDescent="0.25">
      <c r="A148" s="25">
        <v>141</v>
      </c>
      <c r="B148" s="26">
        <v>27</v>
      </c>
      <c r="C148" s="27">
        <v>46222</v>
      </c>
      <c r="D148" s="28" t="s">
        <v>754</v>
      </c>
      <c r="E148" s="26">
        <v>24</v>
      </c>
      <c r="F148" s="26">
        <v>684</v>
      </c>
      <c r="G148" s="17" t="s">
        <v>341</v>
      </c>
      <c r="H148" s="28" t="s">
        <v>76</v>
      </c>
      <c r="I148" s="17" t="s">
        <v>342</v>
      </c>
      <c r="J148" s="17" t="s">
        <v>343</v>
      </c>
      <c r="K148" s="17" t="s">
        <v>119</v>
      </c>
      <c r="L148" s="28" t="s">
        <v>759</v>
      </c>
      <c r="M148" s="17" t="s">
        <v>767</v>
      </c>
      <c r="N148" s="17" t="s">
        <v>753</v>
      </c>
      <c r="O148" s="28" t="s">
        <v>756</v>
      </c>
      <c r="P148" s="28" t="s">
        <v>7</v>
      </c>
      <c r="Q148" s="28" t="s">
        <v>7</v>
      </c>
      <c r="R148" s="17"/>
      <c r="S148" s="18" t="s">
        <v>345</v>
      </c>
    </row>
    <row r="149" spans="1:19" ht="30" x14ac:dyDescent="0.25">
      <c r="A149" s="25">
        <v>142</v>
      </c>
      <c r="B149" s="26">
        <v>28</v>
      </c>
      <c r="C149" s="27">
        <v>46223</v>
      </c>
      <c r="D149" s="28" t="s">
        <v>754</v>
      </c>
      <c r="E149" s="26">
        <v>25</v>
      </c>
      <c r="F149" s="26">
        <v>46</v>
      </c>
      <c r="G149" s="17" t="s">
        <v>346</v>
      </c>
      <c r="H149" s="28" t="s">
        <v>76</v>
      </c>
      <c r="I149" s="17" t="s">
        <v>347</v>
      </c>
      <c r="J149" s="17" t="s">
        <v>348</v>
      </c>
      <c r="K149" s="17" t="s">
        <v>52</v>
      </c>
      <c r="L149" s="28" t="s">
        <v>749</v>
      </c>
      <c r="M149" s="17" t="s">
        <v>755</v>
      </c>
      <c r="N149" s="17" t="s">
        <v>782</v>
      </c>
      <c r="O149" s="28" t="s">
        <v>756</v>
      </c>
      <c r="P149" s="28" t="s">
        <v>7</v>
      </c>
      <c r="Q149" s="28" t="s">
        <v>7</v>
      </c>
      <c r="R149" s="17"/>
      <c r="S149" s="18" t="s">
        <v>350</v>
      </c>
    </row>
    <row r="150" spans="1:19" ht="30" x14ac:dyDescent="0.25">
      <c r="A150" s="25">
        <v>143</v>
      </c>
      <c r="B150" s="26">
        <v>28</v>
      </c>
      <c r="C150" s="27">
        <v>46223</v>
      </c>
      <c r="D150" s="28" t="s">
        <v>754</v>
      </c>
      <c r="E150" s="26">
        <v>25</v>
      </c>
      <c r="F150" s="26">
        <v>78</v>
      </c>
      <c r="G150" s="17" t="s">
        <v>351</v>
      </c>
      <c r="H150" s="28" t="s">
        <v>76</v>
      </c>
      <c r="I150" s="17" t="s">
        <v>347</v>
      </c>
      <c r="J150" s="17" t="s">
        <v>352</v>
      </c>
      <c r="K150" s="17" t="s">
        <v>52</v>
      </c>
      <c r="L150" s="28" t="s">
        <v>749</v>
      </c>
      <c r="M150" s="17" t="s">
        <v>755</v>
      </c>
      <c r="N150" s="17" t="s">
        <v>782</v>
      </c>
      <c r="O150" s="28" t="s">
        <v>756</v>
      </c>
      <c r="P150" s="28" t="s">
        <v>7</v>
      </c>
      <c r="Q150" s="28" t="s">
        <v>7</v>
      </c>
      <c r="R150" s="17"/>
      <c r="S150" s="18" t="s">
        <v>354</v>
      </c>
    </row>
    <row r="151" spans="1:19" x14ac:dyDescent="0.25">
      <c r="A151" s="25">
        <v>144</v>
      </c>
      <c r="B151" s="26">
        <v>28</v>
      </c>
      <c r="C151" s="27">
        <v>46223</v>
      </c>
      <c r="D151" s="28" t="s">
        <v>748</v>
      </c>
      <c r="E151" s="26">
        <v>27</v>
      </c>
      <c r="F151" s="26">
        <v>70</v>
      </c>
      <c r="G151" s="17" t="s">
        <v>373</v>
      </c>
      <c r="H151" s="28" t="s">
        <v>49</v>
      </c>
      <c r="I151" s="17" t="s">
        <v>374</v>
      </c>
      <c r="J151" s="17" t="s">
        <v>375</v>
      </c>
      <c r="K151" s="17" t="s">
        <v>52</v>
      </c>
      <c r="L151" s="28" t="s">
        <v>749</v>
      </c>
      <c r="M151" s="17" t="s">
        <v>750</v>
      </c>
      <c r="N151" s="17" t="s">
        <v>783</v>
      </c>
      <c r="O151" s="28" t="s">
        <v>752</v>
      </c>
      <c r="P151" s="28" t="s">
        <v>7</v>
      </c>
      <c r="Q151" s="28" t="s">
        <v>7</v>
      </c>
      <c r="R151" s="17"/>
      <c r="S151" s="18" t="s">
        <v>377</v>
      </c>
    </row>
    <row r="152" spans="1:19" x14ac:dyDescent="0.25">
      <c r="A152" s="25">
        <v>145</v>
      </c>
      <c r="B152" s="26">
        <v>28</v>
      </c>
      <c r="C152" s="27">
        <v>46223</v>
      </c>
      <c r="D152" s="28" t="s">
        <v>748</v>
      </c>
      <c r="E152" s="26">
        <v>27</v>
      </c>
      <c r="F152" s="26">
        <v>746</v>
      </c>
      <c r="G152" s="17" t="s">
        <v>378</v>
      </c>
      <c r="H152" s="28" t="s">
        <v>49</v>
      </c>
      <c r="I152" s="17" t="s">
        <v>374</v>
      </c>
      <c r="J152" s="17" t="s">
        <v>379</v>
      </c>
      <c r="K152" s="17" t="s">
        <v>52</v>
      </c>
      <c r="L152" s="28" t="s">
        <v>749</v>
      </c>
      <c r="M152" s="17" t="s">
        <v>750</v>
      </c>
      <c r="N152" s="17" t="s">
        <v>783</v>
      </c>
      <c r="O152" s="28" t="s">
        <v>752</v>
      </c>
      <c r="P152" s="28" t="s">
        <v>7</v>
      </c>
      <c r="Q152" s="28" t="s">
        <v>7</v>
      </c>
      <c r="R152" s="17"/>
      <c r="S152" s="18" t="s">
        <v>381</v>
      </c>
    </row>
    <row r="153" spans="1:19" ht="30" x14ac:dyDescent="0.25">
      <c r="A153" s="25">
        <v>146</v>
      </c>
      <c r="B153" s="26">
        <v>28</v>
      </c>
      <c r="C153" s="27">
        <v>46223</v>
      </c>
      <c r="D153" s="28" t="s">
        <v>758</v>
      </c>
      <c r="E153" s="26">
        <v>26</v>
      </c>
      <c r="F153" s="26">
        <v>22</v>
      </c>
      <c r="G153" s="17" t="s">
        <v>363</v>
      </c>
      <c r="H153" s="28" t="s">
        <v>76</v>
      </c>
      <c r="I153" s="17" t="s">
        <v>347</v>
      </c>
      <c r="J153" s="17" t="s">
        <v>364</v>
      </c>
      <c r="K153" s="17" t="s">
        <v>79</v>
      </c>
      <c r="L153" s="28" t="s">
        <v>759</v>
      </c>
      <c r="M153" s="17" t="s">
        <v>760</v>
      </c>
      <c r="N153" s="17" t="s">
        <v>782</v>
      </c>
      <c r="O153" s="28" t="s">
        <v>761</v>
      </c>
      <c r="P153" s="28" t="s">
        <v>7</v>
      </c>
      <c r="Q153" s="28" t="s">
        <v>7</v>
      </c>
      <c r="R153" s="17"/>
      <c r="S153" s="18" t="s">
        <v>366</v>
      </c>
    </row>
    <row r="154" spans="1:19" ht="30" x14ac:dyDescent="0.25">
      <c r="A154" s="25">
        <v>147</v>
      </c>
      <c r="B154" s="26">
        <v>29</v>
      </c>
      <c r="C154" s="27">
        <v>46224</v>
      </c>
      <c r="D154" s="28" t="s">
        <v>754</v>
      </c>
      <c r="E154" s="26">
        <v>26</v>
      </c>
      <c r="F154" s="26">
        <v>17</v>
      </c>
      <c r="G154" s="17" t="s">
        <v>359</v>
      </c>
      <c r="H154" s="28" t="s">
        <v>76</v>
      </c>
      <c r="I154" s="17" t="s">
        <v>347</v>
      </c>
      <c r="J154" s="17" t="s">
        <v>360</v>
      </c>
      <c r="K154" s="17" t="s">
        <v>52</v>
      </c>
      <c r="L154" s="28" t="s">
        <v>749</v>
      </c>
      <c r="M154" s="17" t="s">
        <v>755</v>
      </c>
      <c r="N154" s="17" t="s">
        <v>782</v>
      </c>
      <c r="O154" s="28" t="s">
        <v>756</v>
      </c>
      <c r="P154" s="28" t="s">
        <v>7</v>
      </c>
      <c r="Q154" s="28" t="s">
        <v>7</v>
      </c>
      <c r="R154" s="17"/>
      <c r="S154" s="18" t="s">
        <v>362</v>
      </c>
    </row>
    <row r="155" spans="1:19" x14ac:dyDescent="0.25">
      <c r="A155" s="25">
        <v>148</v>
      </c>
      <c r="B155" s="26">
        <v>29</v>
      </c>
      <c r="C155" s="27">
        <v>46224</v>
      </c>
      <c r="D155" s="28" t="s">
        <v>748</v>
      </c>
      <c r="E155" s="26">
        <v>28</v>
      </c>
      <c r="F155" s="26">
        <v>322</v>
      </c>
      <c r="G155" s="17" t="s">
        <v>386</v>
      </c>
      <c r="H155" s="28" t="s">
        <v>76</v>
      </c>
      <c r="I155" s="17" t="s">
        <v>374</v>
      </c>
      <c r="J155" s="17" t="s">
        <v>387</v>
      </c>
      <c r="K155" s="17" t="s">
        <v>52</v>
      </c>
      <c r="L155" s="28" t="s">
        <v>749</v>
      </c>
      <c r="M155" s="17" t="s">
        <v>750</v>
      </c>
      <c r="N155" s="17" t="s">
        <v>783</v>
      </c>
      <c r="O155" s="28" t="s">
        <v>752</v>
      </c>
      <c r="P155" s="28" t="s">
        <v>7</v>
      </c>
      <c r="Q155" s="28" t="s">
        <v>7</v>
      </c>
      <c r="R155" s="17"/>
      <c r="S155" s="18" t="s">
        <v>389</v>
      </c>
    </row>
    <row r="156" spans="1:19" ht="30" x14ac:dyDescent="0.25">
      <c r="A156" s="25">
        <v>149</v>
      </c>
      <c r="B156" s="26">
        <v>29</v>
      </c>
      <c r="C156" s="27">
        <v>46224</v>
      </c>
      <c r="D156" s="28" t="s">
        <v>763</v>
      </c>
      <c r="E156" s="26">
        <v>22</v>
      </c>
      <c r="F156" s="26">
        <v>733</v>
      </c>
      <c r="G156" s="17" t="s">
        <v>308</v>
      </c>
      <c r="H156" s="28" t="s">
        <v>49</v>
      </c>
      <c r="I156" s="17" t="s">
        <v>304</v>
      </c>
      <c r="J156" s="17" t="s">
        <v>305</v>
      </c>
      <c r="K156" s="17" t="s">
        <v>52</v>
      </c>
      <c r="L156" s="28" t="s">
        <v>749</v>
      </c>
      <c r="M156" s="17" t="s">
        <v>764</v>
      </c>
      <c r="N156" s="17" t="s">
        <v>780</v>
      </c>
      <c r="O156" s="28" t="s">
        <v>765</v>
      </c>
      <c r="P156" s="28" t="s">
        <v>7</v>
      </c>
      <c r="Q156" s="28" t="s">
        <v>7</v>
      </c>
      <c r="R156" s="17"/>
      <c r="S156" s="18" t="s">
        <v>310</v>
      </c>
    </row>
    <row r="157" spans="1:19" ht="30" x14ac:dyDescent="0.25">
      <c r="A157" s="25">
        <v>150</v>
      </c>
      <c r="B157" s="26">
        <v>29</v>
      </c>
      <c r="C157" s="27">
        <v>46224</v>
      </c>
      <c r="D157" s="28" t="s">
        <v>763</v>
      </c>
      <c r="E157" s="26">
        <v>22</v>
      </c>
      <c r="F157" s="26">
        <v>200</v>
      </c>
      <c r="G157" s="17" t="s">
        <v>303</v>
      </c>
      <c r="H157" s="28" t="s">
        <v>76</v>
      </c>
      <c r="I157" s="17" t="s">
        <v>304</v>
      </c>
      <c r="J157" s="17" t="s">
        <v>305</v>
      </c>
      <c r="K157" s="17" t="s">
        <v>52</v>
      </c>
      <c r="L157" s="28" t="s">
        <v>749</v>
      </c>
      <c r="M157" s="17" t="s">
        <v>764</v>
      </c>
      <c r="N157" s="17" t="s">
        <v>780</v>
      </c>
      <c r="O157" s="28" t="s">
        <v>765</v>
      </c>
      <c r="P157" s="28" t="s">
        <v>7</v>
      </c>
      <c r="Q157" s="28" t="s">
        <v>7</v>
      </c>
      <c r="R157" s="17"/>
      <c r="S157" s="18" t="s">
        <v>307</v>
      </c>
    </row>
    <row r="158" spans="1:19" ht="30" x14ac:dyDescent="0.25">
      <c r="A158" s="25">
        <v>151</v>
      </c>
      <c r="B158" s="26">
        <v>29</v>
      </c>
      <c r="C158" s="27">
        <v>46224</v>
      </c>
      <c r="D158" s="28" t="s">
        <v>758</v>
      </c>
      <c r="E158" s="26">
        <v>27</v>
      </c>
      <c r="F158" s="26">
        <v>198</v>
      </c>
      <c r="G158" s="17" t="s">
        <v>382</v>
      </c>
      <c r="H158" s="28" t="s">
        <v>76</v>
      </c>
      <c r="I158" s="17" t="s">
        <v>374</v>
      </c>
      <c r="J158" s="17" t="s">
        <v>383</v>
      </c>
      <c r="K158" s="17" t="s">
        <v>79</v>
      </c>
      <c r="L158" s="28" t="s">
        <v>759</v>
      </c>
      <c r="M158" s="17" t="s">
        <v>760</v>
      </c>
      <c r="N158" s="17" t="s">
        <v>783</v>
      </c>
      <c r="O158" s="28" t="s">
        <v>761</v>
      </c>
      <c r="P158" s="28" t="s">
        <v>7</v>
      </c>
      <c r="Q158" s="28" t="s">
        <v>7</v>
      </c>
      <c r="R158" s="17"/>
      <c r="S158" s="18" t="s">
        <v>385</v>
      </c>
    </row>
    <row r="159" spans="1:19" ht="30" x14ac:dyDescent="0.25">
      <c r="A159" s="25">
        <v>152</v>
      </c>
      <c r="B159" s="26">
        <v>29</v>
      </c>
      <c r="C159" s="27">
        <v>46224</v>
      </c>
      <c r="D159" s="28" t="s">
        <v>763</v>
      </c>
      <c r="E159" s="26">
        <v>22</v>
      </c>
      <c r="F159" s="26">
        <v>695</v>
      </c>
      <c r="G159" s="17" t="s">
        <v>311</v>
      </c>
      <c r="H159" s="28" t="s">
        <v>76</v>
      </c>
      <c r="I159" s="17" t="s">
        <v>304</v>
      </c>
      <c r="J159" s="17" t="s">
        <v>312</v>
      </c>
      <c r="K159" s="17" t="s">
        <v>79</v>
      </c>
      <c r="L159" s="28" t="s">
        <v>759</v>
      </c>
      <c r="M159" s="17" t="s">
        <v>768</v>
      </c>
      <c r="N159" s="17" t="s">
        <v>780</v>
      </c>
      <c r="O159" s="28" t="s">
        <v>769</v>
      </c>
      <c r="P159" s="28" t="s">
        <v>7</v>
      </c>
      <c r="Q159" s="28" t="s">
        <v>7</v>
      </c>
      <c r="R159" s="17"/>
      <c r="S159" s="18" t="s">
        <v>314</v>
      </c>
    </row>
    <row r="160" spans="1:19" ht="30" x14ac:dyDescent="0.25">
      <c r="A160" s="25">
        <v>153</v>
      </c>
      <c r="B160" s="26">
        <v>30</v>
      </c>
      <c r="C160" s="27">
        <v>46225</v>
      </c>
      <c r="D160" s="28" t="s">
        <v>754</v>
      </c>
      <c r="E160" s="26">
        <v>27</v>
      </c>
      <c r="F160" s="26">
        <v>70</v>
      </c>
      <c r="G160" s="17" t="s">
        <v>373</v>
      </c>
      <c r="H160" s="28" t="s">
        <v>49</v>
      </c>
      <c r="I160" s="17" t="s">
        <v>374</v>
      </c>
      <c r="J160" s="17" t="s">
        <v>375</v>
      </c>
      <c r="K160" s="17" t="s">
        <v>52</v>
      </c>
      <c r="L160" s="28" t="s">
        <v>749</v>
      </c>
      <c r="M160" s="17" t="s">
        <v>755</v>
      </c>
      <c r="N160" s="17" t="s">
        <v>783</v>
      </c>
      <c r="O160" s="28" t="s">
        <v>756</v>
      </c>
      <c r="P160" s="28" t="s">
        <v>7</v>
      </c>
      <c r="Q160" s="28" t="s">
        <v>7</v>
      </c>
      <c r="R160" s="17"/>
      <c r="S160" s="18" t="s">
        <v>377</v>
      </c>
    </row>
    <row r="161" spans="1:19" ht="30" x14ac:dyDescent="0.25">
      <c r="A161" s="25">
        <v>154</v>
      </c>
      <c r="B161" s="26">
        <v>30</v>
      </c>
      <c r="C161" s="27">
        <v>46225</v>
      </c>
      <c r="D161" s="28" t="s">
        <v>754</v>
      </c>
      <c r="E161" s="26">
        <v>27</v>
      </c>
      <c r="F161" s="26">
        <v>746</v>
      </c>
      <c r="G161" s="17" t="s">
        <v>378</v>
      </c>
      <c r="H161" s="28" t="s">
        <v>49</v>
      </c>
      <c r="I161" s="17" t="s">
        <v>374</v>
      </c>
      <c r="J161" s="17" t="s">
        <v>379</v>
      </c>
      <c r="K161" s="17" t="s">
        <v>52</v>
      </c>
      <c r="L161" s="28" t="s">
        <v>749</v>
      </c>
      <c r="M161" s="17" t="s">
        <v>755</v>
      </c>
      <c r="N161" s="17" t="s">
        <v>783</v>
      </c>
      <c r="O161" s="28" t="s">
        <v>756</v>
      </c>
      <c r="P161" s="28" t="s">
        <v>7</v>
      </c>
      <c r="Q161" s="28" t="s">
        <v>7</v>
      </c>
      <c r="R161" s="17"/>
      <c r="S161" s="18" t="s">
        <v>381</v>
      </c>
    </row>
    <row r="162" spans="1:19" ht="30" x14ac:dyDescent="0.25">
      <c r="A162" s="25">
        <v>155</v>
      </c>
      <c r="B162" s="26">
        <v>30</v>
      </c>
      <c r="C162" s="27">
        <v>46225</v>
      </c>
      <c r="D162" s="28" t="s">
        <v>763</v>
      </c>
      <c r="E162" s="26">
        <v>23</v>
      </c>
      <c r="F162" s="26">
        <v>994</v>
      </c>
      <c r="G162" s="17" t="s">
        <v>315</v>
      </c>
      <c r="H162" s="28" t="s">
        <v>76</v>
      </c>
      <c r="I162" s="17" t="s">
        <v>316</v>
      </c>
      <c r="J162" s="17" t="s">
        <v>317</v>
      </c>
      <c r="K162" s="17" t="s">
        <v>52</v>
      </c>
      <c r="L162" s="28" t="s">
        <v>749</v>
      </c>
      <c r="M162" s="17" t="s">
        <v>764</v>
      </c>
      <c r="N162" s="17" t="s">
        <v>780</v>
      </c>
      <c r="O162" s="28" t="s">
        <v>765</v>
      </c>
      <c r="P162" s="28" t="s">
        <v>7</v>
      </c>
      <c r="Q162" s="28" t="s">
        <v>7</v>
      </c>
      <c r="R162" s="17"/>
      <c r="S162" s="18" t="s">
        <v>319</v>
      </c>
    </row>
    <row r="163" spans="1:19" ht="30" x14ac:dyDescent="0.25">
      <c r="A163" s="25">
        <v>156</v>
      </c>
      <c r="B163" s="26">
        <v>30</v>
      </c>
      <c r="C163" s="27">
        <v>46225</v>
      </c>
      <c r="D163" s="28" t="s">
        <v>748</v>
      </c>
      <c r="E163" s="26">
        <v>29</v>
      </c>
      <c r="F163" s="26">
        <v>121</v>
      </c>
      <c r="G163" s="17" t="s">
        <v>399</v>
      </c>
      <c r="H163" s="28" t="s">
        <v>49</v>
      </c>
      <c r="I163" s="17" t="s">
        <v>400</v>
      </c>
      <c r="J163" s="17" t="s">
        <v>401</v>
      </c>
      <c r="K163" s="17" t="s">
        <v>52</v>
      </c>
      <c r="L163" s="28" t="s">
        <v>749</v>
      </c>
      <c r="M163" s="17" t="s">
        <v>750</v>
      </c>
      <c r="N163" s="17" t="s">
        <v>784</v>
      </c>
      <c r="O163" s="28" t="s">
        <v>752</v>
      </c>
      <c r="P163" s="28" t="s">
        <v>7</v>
      </c>
      <c r="Q163" s="28" t="s">
        <v>7</v>
      </c>
      <c r="R163" s="17"/>
      <c r="S163" s="18" t="s">
        <v>403</v>
      </c>
    </row>
    <row r="164" spans="1:19" ht="30" x14ac:dyDescent="0.25">
      <c r="A164" s="25">
        <v>157</v>
      </c>
      <c r="B164" s="26">
        <v>30</v>
      </c>
      <c r="C164" s="27">
        <v>46225</v>
      </c>
      <c r="D164" s="28" t="s">
        <v>758</v>
      </c>
      <c r="E164" s="26">
        <v>28</v>
      </c>
      <c r="F164" s="26">
        <v>139</v>
      </c>
      <c r="G164" s="17" t="s">
        <v>395</v>
      </c>
      <c r="H164" s="28" t="s">
        <v>76</v>
      </c>
      <c r="I164" s="17" t="s">
        <v>374</v>
      </c>
      <c r="J164" s="17" t="s">
        <v>396</v>
      </c>
      <c r="K164" s="17" t="s">
        <v>79</v>
      </c>
      <c r="L164" s="28" t="s">
        <v>759</v>
      </c>
      <c r="M164" s="17" t="s">
        <v>760</v>
      </c>
      <c r="N164" s="17" t="s">
        <v>783</v>
      </c>
      <c r="O164" s="28" t="s">
        <v>761</v>
      </c>
      <c r="P164" s="28" t="s">
        <v>7</v>
      </c>
      <c r="Q164" s="28" t="s">
        <v>7</v>
      </c>
      <c r="R164" s="17"/>
      <c r="S164" s="18" t="s">
        <v>398</v>
      </c>
    </row>
    <row r="165" spans="1:19" ht="30" x14ac:dyDescent="0.25">
      <c r="A165" s="25">
        <v>158</v>
      </c>
      <c r="B165" s="26">
        <v>30</v>
      </c>
      <c r="C165" s="27">
        <v>46225</v>
      </c>
      <c r="D165" s="28" t="s">
        <v>763</v>
      </c>
      <c r="E165" s="26">
        <v>23</v>
      </c>
      <c r="F165" s="26">
        <v>207</v>
      </c>
      <c r="G165" s="17" t="s">
        <v>320</v>
      </c>
      <c r="H165" s="28" t="s">
        <v>76</v>
      </c>
      <c r="I165" s="17" t="s">
        <v>321</v>
      </c>
      <c r="J165" s="17" t="s">
        <v>322</v>
      </c>
      <c r="K165" s="17" t="s">
        <v>79</v>
      </c>
      <c r="L165" s="28" t="s">
        <v>759</v>
      </c>
      <c r="M165" s="17" t="s">
        <v>768</v>
      </c>
      <c r="N165" s="17" t="s">
        <v>780</v>
      </c>
      <c r="O165" s="28" t="s">
        <v>769</v>
      </c>
      <c r="P165" s="28" t="s">
        <v>7</v>
      </c>
      <c r="Q165" s="28" t="s">
        <v>7</v>
      </c>
      <c r="R165" s="17"/>
      <c r="S165" s="18" t="s">
        <v>325</v>
      </c>
    </row>
    <row r="166" spans="1:19" ht="30" x14ac:dyDescent="0.25">
      <c r="A166" s="25">
        <v>159</v>
      </c>
      <c r="B166" s="26">
        <v>30</v>
      </c>
      <c r="C166" s="27">
        <v>46225</v>
      </c>
      <c r="D166" s="28" t="s">
        <v>763</v>
      </c>
      <c r="E166" s="26">
        <v>23</v>
      </c>
      <c r="F166" s="26">
        <v>133</v>
      </c>
      <c r="G166" s="17" t="s">
        <v>327</v>
      </c>
      <c r="H166" s="28" t="s">
        <v>76</v>
      </c>
      <c r="I166" s="17" t="s">
        <v>304</v>
      </c>
      <c r="J166" s="17" t="s">
        <v>328</v>
      </c>
      <c r="K166" s="17" t="s">
        <v>103</v>
      </c>
      <c r="L166" s="28" t="s">
        <v>771</v>
      </c>
      <c r="M166" s="17" t="s">
        <v>772</v>
      </c>
      <c r="N166" s="17" t="s">
        <v>780</v>
      </c>
      <c r="O166" s="28" t="s">
        <v>765</v>
      </c>
      <c r="P166" s="28" t="s">
        <v>7</v>
      </c>
      <c r="Q166" s="28" t="s">
        <v>7</v>
      </c>
      <c r="R166" s="17"/>
      <c r="S166" s="18" t="s">
        <v>330</v>
      </c>
    </row>
    <row r="167" spans="1:19" ht="30" x14ac:dyDescent="0.25">
      <c r="A167" s="25">
        <v>160</v>
      </c>
      <c r="B167" s="26">
        <v>31</v>
      </c>
      <c r="C167" s="27">
        <v>46226</v>
      </c>
      <c r="D167" s="28" t="s">
        <v>754</v>
      </c>
      <c r="E167" s="26">
        <v>28</v>
      </c>
      <c r="F167" s="26">
        <v>322</v>
      </c>
      <c r="G167" s="17" t="s">
        <v>386</v>
      </c>
      <c r="H167" s="28" t="s">
        <v>76</v>
      </c>
      <c r="I167" s="17" t="s">
        <v>374</v>
      </c>
      <c r="J167" s="17" t="s">
        <v>387</v>
      </c>
      <c r="K167" s="17" t="s">
        <v>52</v>
      </c>
      <c r="L167" s="28" t="s">
        <v>749</v>
      </c>
      <c r="M167" s="17" t="s">
        <v>755</v>
      </c>
      <c r="N167" s="17" t="s">
        <v>783</v>
      </c>
      <c r="O167" s="28" t="s">
        <v>756</v>
      </c>
      <c r="P167" s="28" t="s">
        <v>7</v>
      </c>
      <c r="Q167" s="28" t="s">
        <v>7</v>
      </c>
      <c r="R167" s="17"/>
      <c r="S167" s="18" t="s">
        <v>389</v>
      </c>
    </row>
    <row r="168" spans="1:19" ht="30" x14ac:dyDescent="0.25">
      <c r="A168" s="25">
        <v>161</v>
      </c>
      <c r="B168" s="26">
        <v>31</v>
      </c>
      <c r="C168" s="27">
        <v>46226</v>
      </c>
      <c r="D168" s="28" t="s">
        <v>763</v>
      </c>
      <c r="E168" s="26">
        <v>24</v>
      </c>
      <c r="F168" s="26">
        <v>547</v>
      </c>
      <c r="G168" s="17" t="s">
        <v>331</v>
      </c>
      <c r="H168" s="28" t="s">
        <v>76</v>
      </c>
      <c r="I168" s="17" t="s">
        <v>332</v>
      </c>
      <c r="J168" s="17" t="s">
        <v>333</v>
      </c>
      <c r="K168" s="17" t="s">
        <v>52</v>
      </c>
      <c r="L168" s="28" t="s">
        <v>749</v>
      </c>
      <c r="M168" s="17" t="s">
        <v>764</v>
      </c>
      <c r="N168" s="17" t="s">
        <v>780</v>
      </c>
      <c r="O168" s="28" t="s">
        <v>765</v>
      </c>
      <c r="P168" s="28" t="s">
        <v>7</v>
      </c>
      <c r="Q168" s="28" t="s">
        <v>7</v>
      </c>
      <c r="R168" s="17"/>
      <c r="S168" s="18" t="s">
        <v>335</v>
      </c>
    </row>
    <row r="169" spans="1:19" ht="30" x14ac:dyDescent="0.25">
      <c r="A169" s="25">
        <v>162</v>
      </c>
      <c r="B169" s="26">
        <v>31</v>
      </c>
      <c r="C169" s="27">
        <v>46226</v>
      </c>
      <c r="D169" s="28" t="s">
        <v>763</v>
      </c>
      <c r="E169" s="26">
        <v>24</v>
      </c>
      <c r="F169" s="26">
        <v>1971</v>
      </c>
      <c r="G169" s="17" t="s">
        <v>337</v>
      </c>
      <c r="H169" s="28" t="s">
        <v>49</v>
      </c>
      <c r="I169" s="17" t="s">
        <v>304</v>
      </c>
      <c r="J169" s="17" t="s">
        <v>338</v>
      </c>
      <c r="K169" s="17" t="s">
        <v>52</v>
      </c>
      <c r="L169" s="28" t="s">
        <v>749</v>
      </c>
      <c r="M169" s="17" t="s">
        <v>764</v>
      </c>
      <c r="N169" s="17" t="s">
        <v>780</v>
      </c>
      <c r="O169" s="28" t="s">
        <v>765</v>
      </c>
      <c r="P169" s="28" t="s">
        <v>7</v>
      </c>
      <c r="Q169" s="28" t="s">
        <v>7</v>
      </c>
      <c r="R169" s="17"/>
      <c r="S169" s="18" t="s">
        <v>340</v>
      </c>
    </row>
    <row r="170" spans="1:19" ht="30" x14ac:dyDescent="0.25">
      <c r="A170" s="25">
        <v>163</v>
      </c>
      <c r="B170" s="26">
        <v>31</v>
      </c>
      <c r="C170" s="27">
        <v>46226</v>
      </c>
      <c r="D170" s="28" t="s">
        <v>754</v>
      </c>
      <c r="E170" s="26">
        <v>28</v>
      </c>
      <c r="F170" s="26">
        <v>300</v>
      </c>
      <c r="G170" s="17" t="s">
        <v>390</v>
      </c>
      <c r="H170" s="28" t="s">
        <v>76</v>
      </c>
      <c r="I170" s="17" t="s">
        <v>391</v>
      </c>
      <c r="J170" s="17" t="s">
        <v>392</v>
      </c>
      <c r="K170" s="17" t="s">
        <v>119</v>
      </c>
      <c r="L170" s="28" t="s">
        <v>759</v>
      </c>
      <c r="M170" s="17" t="s">
        <v>767</v>
      </c>
      <c r="N170" s="17" t="s">
        <v>770</v>
      </c>
      <c r="O170" s="28" t="s">
        <v>756</v>
      </c>
      <c r="P170" s="28" t="s">
        <v>7</v>
      </c>
      <c r="Q170" s="28" t="s">
        <v>7</v>
      </c>
      <c r="R170" s="17"/>
      <c r="S170" s="18" t="s">
        <v>394</v>
      </c>
    </row>
    <row r="171" spans="1:19" ht="30" x14ac:dyDescent="0.25">
      <c r="A171" s="25">
        <v>164</v>
      </c>
      <c r="B171" s="26">
        <v>31</v>
      </c>
      <c r="C171" s="27">
        <v>46226</v>
      </c>
      <c r="D171" s="28" t="s">
        <v>758</v>
      </c>
      <c r="E171" s="26">
        <v>29</v>
      </c>
      <c r="F171" s="26">
        <v>55</v>
      </c>
      <c r="G171" s="17" t="s">
        <v>404</v>
      </c>
      <c r="H171" s="28" t="s">
        <v>76</v>
      </c>
      <c r="I171" s="17" t="s">
        <v>405</v>
      </c>
      <c r="J171" s="17" t="s">
        <v>406</v>
      </c>
      <c r="K171" s="17" t="s">
        <v>79</v>
      </c>
      <c r="L171" s="28" t="s">
        <v>759</v>
      </c>
      <c r="M171" s="17" t="s">
        <v>760</v>
      </c>
      <c r="N171" s="17" t="s">
        <v>784</v>
      </c>
      <c r="O171" s="28" t="s">
        <v>761</v>
      </c>
      <c r="P171" s="28" t="s">
        <v>7</v>
      </c>
      <c r="Q171" s="28" t="s">
        <v>7</v>
      </c>
      <c r="R171" s="17"/>
      <c r="S171" s="18" t="s">
        <v>408</v>
      </c>
    </row>
    <row r="172" spans="1:19" ht="30" x14ac:dyDescent="0.25">
      <c r="A172" s="25">
        <v>165</v>
      </c>
      <c r="B172" s="26">
        <v>31</v>
      </c>
      <c r="C172" s="27">
        <v>46226</v>
      </c>
      <c r="D172" s="28" t="s">
        <v>775</v>
      </c>
      <c r="E172" s="26">
        <v>21</v>
      </c>
      <c r="F172" s="26">
        <v>215</v>
      </c>
      <c r="G172" s="17" t="s">
        <v>781</v>
      </c>
      <c r="H172" s="28" t="s">
        <v>76</v>
      </c>
      <c r="I172" s="17" t="s">
        <v>287</v>
      </c>
      <c r="J172" s="17" t="s">
        <v>288</v>
      </c>
      <c r="K172" s="17" t="s">
        <v>119</v>
      </c>
      <c r="L172" s="28" t="s">
        <v>759</v>
      </c>
      <c r="M172" s="17" t="s">
        <v>776</v>
      </c>
      <c r="N172" s="17" t="s">
        <v>779</v>
      </c>
      <c r="O172" s="28" t="s">
        <v>777</v>
      </c>
      <c r="P172" s="28" t="s">
        <v>7</v>
      </c>
      <c r="Q172" s="28" t="s">
        <v>7</v>
      </c>
      <c r="R172" s="17"/>
      <c r="S172" s="18" t="s">
        <v>290</v>
      </c>
    </row>
    <row r="173" spans="1:19" ht="30" x14ac:dyDescent="0.25">
      <c r="A173" s="25">
        <v>166</v>
      </c>
      <c r="B173" s="26">
        <v>32</v>
      </c>
      <c r="C173" s="27">
        <v>46227</v>
      </c>
      <c r="D173" s="28" t="s">
        <v>763</v>
      </c>
      <c r="E173" s="26">
        <v>25</v>
      </c>
      <c r="F173" s="26">
        <v>46</v>
      </c>
      <c r="G173" s="17" t="s">
        <v>346</v>
      </c>
      <c r="H173" s="28" t="s">
        <v>76</v>
      </c>
      <c r="I173" s="17" t="s">
        <v>347</v>
      </c>
      <c r="J173" s="17" t="s">
        <v>348</v>
      </c>
      <c r="K173" s="17" t="s">
        <v>52</v>
      </c>
      <c r="L173" s="28" t="s">
        <v>749</v>
      </c>
      <c r="M173" s="17" t="s">
        <v>764</v>
      </c>
      <c r="N173" s="17" t="s">
        <v>782</v>
      </c>
      <c r="O173" s="28" t="s">
        <v>765</v>
      </c>
      <c r="P173" s="28" t="s">
        <v>7</v>
      </c>
      <c r="Q173" s="28" t="s">
        <v>7</v>
      </c>
      <c r="R173" s="17"/>
      <c r="S173" s="18" t="s">
        <v>350</v>
      </c>
    </row>
    <row r="174" spans="1:19" ht="30" x14ac:dyDescent="0.25">
      <c r="A174" s="25">
        <v>167</v>
      </c>
      <c r="B174" s="26">
        <v>32</v>
      </c>
      <c r="C174" s="27">
        <v>46227</v>
      </c>
      <c r="D174" s="28" t="s">
        <v>763</v>
      </c>
      <c r="E174" s="26">
        <v>25</v>
      </c>
      <c r="F174" s="26">
        <v>78</v>
      </c>
      <c r="G174" s="17" t="s">
        <v>351</v>
      </c>
      <c r="H174" s="28" t="s">
        <v>76</v>
      </c>
      <c r="I174" s="17" t="s">
        <v>347</v>
      </c>
      <c r="J174" s="17" t="s">
        <v>352</v>
      </c>
      <c r="K174" s="17" t="s">
        <v>52</v>
      </c>
      <c r="L174" s="28" t="s">
        <v>749</v>
      </c>
      <c r="M174" s="17" t="s">
        <v>764</v>
      </c>
      <c r="N174" s="17" t="s">
        <v>782</v>
      </c>
      <c r="O174" s="28" t="s">
        <v>765</v>
      </c>
      <c r="P174" s="28" t="s">
        <v>7</v>
      </c>
      <c r="Q174" s="28" t="s">
        <v>7</v>
      </c>
      <c r="R174" s="17"/>
      <c r="S174" s="18" t="s">
        <v>354</v>
      </c>
    </row>
    <row r="175" spans="1:19" ht="30" x14ac:dyDescent="0.25">
      <c r="A175" s="25">
        <v>168</v>
      </c>
      <c r="B175" s="26">
        <v>32</v>
      </c>
      <c r="C175" s="27">
        <v>46227</v>
      </c>
      <c r="D175" s="28" t="s">
        <v>754</v>
      </c>
      <c r="E175" s="26">
        <v>29</v>
      </c>
      <c r="F175" s="26">
        <v>121</v>
      </c>
      <c r="G175" s="17" t="s">
        <v>399</v>
      </c>
      <c r="H175" s="28" t="s">
        <v>49</v>
      </c>
      <c r="I175" s="17" t="s">
        <v>400</v>
      </c>
      <c r="J175" s="17" t="s">
        <v>401</v>
      </c>
      <c r="K175" s="17" t="s">
        <v>52</v>
      </c>
      <c r="L175" s="28" t="s">
        <v>749</v>
      </c>
      <c r="M175" s="17" t="s">
        <v>755</v>
      </c>
      <c r="N175" s="17" t="s">
        <v>784</v>
      </c>
      <c r="O175" s="28" t="s">
        <v>756</v>
      </c>
      <c r="P175" s="28" t="s">
        <v>7</v>
      </c>
      <c r="Q175" s="28" t="s">
        <v>7</v>
      </c>
      <c r="R175" s="17"/>
      <c r="S175" s="18" t="s">
        <v>403</v>
      </c>
    </row>
    <row r="176" spans="1:19" ht="30" x14ac:dyDescent="0.25">
      <c r="A176" s="25">
        <v>169</v>
      </c>
      <c r="B176" s="26">
        <v>32</v>
      </c>
      <c r="C176" s="27">
        <v>46227</v>
      </c>
      <c r="D176" s="28" t="s">
        <v>763</v>
      </c>
      <c r="E176" s="26">
        <v>25</v>
      </c>
      <c r="F176" s="26">
        <v>39</v>
      </c>
      <c r="G176" s="17" t="s">
        <v>355</v>
      </c>
      <c r="H176" s="28" t="s">
        <v>76</v>
      </c>
      <c r="I176" s="17" t="s">
        <v>347</v>
      </c>
      <c r="J176" s="17" t="s">
        <v>356</v>
      </c>
      <c r="K176" s="17" t="s">
        <v>79</v>
      </c>
      <c r="L176" s="28" t="s">
        <v>759</v>
      </c>
      <c r="M176" s="17" t="s">
        <v>768</v>
      </c>
      <c r="N176" s="17" t="s">
        <v>782</v>
      </c>
      <c r="O176" s="28" t="s">
        <v>769</v>
      </c>
      <c r="P176" s="28" t="s">
        <v>7</v>
      </c>
      <c r="Q176" s="28" t="s">
        <v>7</v>
      </c>
      <c r="R176" s="17"/>
      <c r="S176" s="18" t="s">
        <v>358</v>
      </c>
    </row>
    <row r="177" spans="1:19" ht="30" x14ac:dyDescent="0.25">
      <c r="A177" s="25">
        <v>170</v>
      </c>
      <c r="B177" s="26">
        <v>32</v>
      </c>
      <c r="C177" s="27">
        <v>46227</v>
      </c>
      <c r="D177" s="28" t="s">
        <v>754</v>
      </c>
      <c r="E177" s="26">
        <v>29</v>
      </c>
      <c r="F177" s="26">
        <v>45</v>
      </c>
      <c r="G177" s="17" t="s">
        <v>409</v>
      </c>
      <c r="H177" s="28" t="s">
        <v>76</v>
      </c>
      <c r="I177" s="17" t="s">
        <v>405</v>
      </c>
      <c r="J177" s="17" t="s">
        <v>410</v>
      </c>
      <c r="K177" s="17" t="s">
        <v>119</v>
      </c>
      <c r="L177" s="28" t="s">
        <v>759</v>
      </c>
      <c r="M177" s="17" t="s">
        <v>767</v>
      </c>
      <c r="N177" s="17" t="s">
        <v>784</v>
      </c>
      <c r="O177" s="28" t="s">
        <v>756</v>
      </c>
      <c r="P177" s="28" t="s">
        <v>7</v>
      </c>
      <c r="Q177" s="28" t="s">
        <v>7</v>
      </c>
      <c r="R177" s="17"/>
      <c r="S177" s="18" t="s">
        <v>412</v>
      </c>
    </row>
    <row r="178" spans="1:19" ht="30" x14ac:dyDescent="0.25">
      <c r="A178" s="25">
        <v>171</v>
      </c>
      <c r="B178" s="26">
        <v>33</v>
      </c>
      <c r="C178" s="27">
        <v>46228</v>
      </c>
      <c r="D178" s="28" t="s">
        <v>763</v>
      </c>
      <c r="E178" s="26">
        <v>26</v>
      </c>
      <c r="F178" s="26">
        <v>17</v>
      </c>
      <c r="G178" s="17" t="s">
        <v>359</v>
      </c>
      <c r="H178" s="28" t="s">
        <v>76</v>
      </c>
      <c r="I178" s="17" t="s">
        <v>347</v>
      </c>
      <c r="J178" s="17" t="s">
        <v>360</v>
      </c>
      <c r="K178" s="17" t="s">
        <v>52</v>
      </c>
      <c r="L178" s="28" t="s">
        <v>749</v>
      </c>
      <c r="M178" s="17" t="s">
        <v>764</v>
      </c>
      <c r="N178" s="17" t="s">
        <v>782</v>
      </c>
      <c r="O178" s="28" t="s">
        <v>765</v>
      </c>
      <c r="P178" s="28" t="s">
        <v>7</v>
      </c>
      <c r="Q178" s="28" t="s">
        <v>7</v>
      </c>
      <c r="R178" s="17"/>
      <c r="S178" s="18" t="s">
        <v>362</v>
      </c>
    </row>
    <row r="179" spans="1:19" ht="30" x14ac:dyDescent="0.25">
      <c r="A179" s="25">
        <v>172</v>
      </c>
      <c r="B179" s="26">
        <v>33</v>
      </c>
      <c r="C179" s="27">
        <v>46228</v>
      </c>
      <c r="D179" s="28" t="s">
        <v>763</v>
      </c>
      <c r="E179" s="26">
        <v>26</v>
      </c>
      <c r="F179" s="26">
        <v>22</v>
      </c>
      <c r="G179" s="17" t="s">
        <v>363</v>
      </c>
      <c r="H179" s="28" t="s">
        <v>76</v>
      </c>
      <c r="I179" s="17" t="s">
        <v>347</v>
      </c>
      <c r="J179" s="17" t="s">
        <v>364</v>
      </c>
      <c r="K179" s="17" t="s">
        <v>79</v>
      </c>
      <c r="L179" s="28" t="s">
        <v>759</v>
      </c>
      <c r="M179" s="17" t="s">
        <v>768</v>
      </c>
      <c r="N179" s="17" t="s">
        <v>782</v>
      </c>
      <c r="O179" s="28" t="s">
        <v>769</v>
      </c>
      <c r="P179" s="28" t="s">
        <v>7</v>
      </c>
      <c r="Q179" s="28" t="s">
        <v>7</v>
      </c>
      <c r="R179" s="17"/>
      <c r="S179" s="18" t="s">
        <v>366</v>
      </c>
    </row>
    <row r="180" spans="1:19" ht="30" x14ac:dyDescent="0.25">
      <c r="A180" s="25">
        <v>173</v>
      </c>
      <c r="B180" s="26">
        <v>33</v>
      </c>
      <c r="C180" s="27">
        <v>46228</v>
      </c>
      <c r="D180" s="28" t="s">
        <v>763</v>
      </c>
      <c r="E180" s="26">
        <v>26</v>
      </c>
      <c r="F180" s="26">
        <v>79</v>
      </c>
      <c r="G180" s="17" t="s">
        <v>367</v>
      </c>
      <c r="H180" s="28" t="s">
        <v>76</v>
      </c>
      <c r="I180" s="17" t="s">
        <v>368</v>
      </c>
      <c r="J180" s="17" t="s">
        <v>369</v>
      </c>
      <c r="K180" s="17" t="s">
        <v>103</v>
      </c>
      <c r="L180" s="28" t="s">
        <v>771</v>
      </c>
      <c r="M180" s="17" t="s">
        <v>772</v>
      </c>
      <c r="N180" s="17" t="s">
        <v>782</v>
      </c>
      <c r="O180" s="28" t="s">
        <v>765</v>
      </c>
      <c r="P180" s="28" t="s">
        <v>7</v>
      </c>
      <c r="Q180" s="28" t="s">
        <v>7</v>
      </c>
      <c r="R180" s="17"/>
      <c r="S180" s="18" t="s">
        <v>372</v>
      </c>
    </row>
    <row r="181" spans="1:19" ht="30" x14ac:dyDescent="0.25">
      <c r="A181" s="25">
        <v>174</v>
      </c>
      <c r="B181" s="26">
        <v>34</v>
      </c>
      <c r="C181" s="27">
        <v>46229</v>
      </c>
      <c r="D181" s="28" t="s">
        <v>763</v>
      </c>
      <c r="E181" s="26">
        <v>27</v>
      </c>
      <c r="F181" s="26">
        <v>70</v>
      </c>
      <c r="G181" s="17" t="s">
        <v>373</v>
      </c>
      <c r="H181" s="28" t="s">
        <v>49</v>
      </c>
      <c r="I181" s="17" t="s">
        <v>374</v>
      </c>
      <c r="J181" s="17" t="s">
        <v>375</v>
      </c>
      <c r="K181" s="17" t="s">
        <v>52</v>
      </c>
      <c r="L181" s="28" t="s">
        <v>749</v>
      </c>
      <c r="M181" s="17" t="s">
        <v>764</v>
      </c>
      <c r="N181" s="17" t="s">
        <v>783</v>
      </c>
      <c r="O181" s="28" t="s">
        <v>765</v>
      </c>
      <c r="P181" s="28" t="s">
        <v>7</v>
      </c>
      <c r="Q181" s="28" t="s">
        <v>7</v>
      </c>
      <c r="R181" s="17"/>
      <c r="S181" s="18" t="s">
        <v>377</v>
      </c>
    </row>
    <row r="182" spans="1:19" ht="30" x14ac:dyDescent="0.25">
      <c r="A182" s="25">
        <v>175</v>
      </c>
      <c r="B182" s="26">
        <v>34</v>
      </c>
      <c r="C182" s="27">
        <v>46229</v>
      </c>
      <c r="D182" s="28" t="s">
        <v>763</v>
      </c>
      <c r="E182" s="26">
        <v>27</v>
      </c>
      <c r="F182" s="26">
        <v>746</v>
      </c>
      <c r="G182" s="17" t="s">
        <v>378</v>
      </c>
      <c r="H182" s="28" t="s">
        <v>49</v>
      </c>
      <c r="I182" s="17" t="s">
        <v>374</v>
      </c>
      <c r="J182" s="17" t="s">
        <v>379</v>
      </c>
      <c r="K182" s="17" t="s">
        <v>52</v>
      </c>
      <c r="L182" s="28" t="s">
        <v>749</v>
      </c>
      <c r="M182" s="17" t="s">
        <v>764</v>
      </c>
      <c r="N182" s="17" t="s">
        <v>783</v>
      </c>
      <c r="O182" s="28" t="s">
        <v>765</v>
      </c>
      <c r="P182" s="28" t="s">
        <v>7</v>
      </c>
      <c r="Q182" s="28" t="s">
        <v>7</v>
      </c>
      <c r="R182" s="17"/>
      <c r="S182" s="18" t="s">
        <v>381</v>
      </c>
    </row>
    <row r="183" spans="1:19" ht="30" x14ac:dyDescent="0.25">
      <c r="A183" s="25">
        <v>176</v>
      </c>
      <c r="B183" s="26">
        <v>34</v>
      </c>
      <c r="C183" s="27">
        <v>46229</v>
      </c>
      <c r="D183" s="28" t="s">
        <v>763</v>
      </c>
      <c r="E183" s="26">
        <v>27</v>
      </c>
      <c r="F183" s="26">
        <v>198</v>
      </c>
      <c r="G183" s="17" t="s">
        <v>382</v>
      </c>
      <c r="H183" s="28" t="s">
        <v>76</v>
      </c>
      <c r="I183" s="17" t="s">
        <v>374</v>
      </c>
      <c r="J183" s="17" t="s">
        <v>383</v>
      </c>
      <c r="K183" s="17" t="s">
        <v>79</v>
      </c>
      <c r="L183" s="28" t="s">
        <v>759</v>
      </c>
      <c r="M183" s="17" t="s">
        <v>768</v>
      </c>
      <c r="N183" s="17" t="s">
        <v>783</v>
      </c>
      <c r="O183" s="28" t="s">
        <v>769</v>
      </c>
      <c r="P183" s="28" t="s">
        <v>7</v>
      </c>
      <c r="Q183" s="28" t="s">
        <v>7</v>
      </c>
      <c r="R183" s="17"/>
      <c r="S183" s="18" t="s">
        <v>385</v>
      </c>
    </row>
    <row r="184" spans="1:19" ht="30" x14ac:dyDescent="0.25">
      <c r="A184" s="25">
        <v>177</v>
      </c>
      <c r="B184" s="26">
        <v>34</v>
      </c>
      <c r="C184" s="27">
        <v>46229</v>
      </c>
      <c r="D184" s="28" t="s">
        <v>775</v>
      </c>
      <c r="E184" s="26">
        <v>24</v>
      </c>
      <c r="F184" s="26">
        <v>684</v>
      </c>
      <c r="G184" s="17" t="s">
        <v>341</v>
      </c>
      <c r="H184" s="28" t="s">
        <v>76</v>
      </c>
      <c r="I184" s="17" t="s">
        <v>342</v>
      </c>
      <c r="J184" s="17" t="s">
        <v>343</v>
      </c>
      <c r="K184" s="17" t="s">
        <v>119</v>
      </c>
      <c r="L184" s="28" t="s">
        <v>759</v>
      </c>
      <c r="M184" s="17" t="s">
        <v>776</v>
      </c>
      <c r="N184" s="17" t="s">
        <v>753</v>
      </c>
      <c r="O184" s="28" t="s">
        <v>777</v>
      </c>
      <c r="P184" s="28" t="s">
        <v>7</v>
      </c>
      <c r="Q184" s="28" t="s">
        <v>7</v>
      </c>
      <c r="R184" s="17"/>
      <c r="S184" s="18" t="s">
        <v>345</v>
      </c>
    </row>
    <row r="185" spans="1:19" ht="30" x14ac:dyDescent="0.25">
      <c r="A185" s="25">
        <v>178</v>
      </c>
      <c r="B185" s="26">
        <v>35</v>
      </c>
      <c r="C185" s="27">
        <v>46230</v>
      </c>
      <c r="D185" s="28" t="s">
        <v>763</v>
      </c>
      <c r="E185" s="26">
        <v>28</v>
      </c>
      <c r="F185" s="26">
        <v>322</v>
      </c>
      <c r="G185" s="17" t="s">
        <v>386</v>
      </c>
      <c r="H185" s="28" t="s">
        <v>76</v>
      </c>
      <c r="I185" s="17" t="s">
        <v>374</v>
      </c>
      <c r="J185" s="17" t="s">
        <v>387</v>
      </c>
      <c r="K185" s="17" t="s">
        <v>52</v>
      </c>
      <c r="L185" s="28" t="s">
        <v>749</v>
      </c>
      <c r="M185" s="17" t="s">
        <v>764</v>
      </c>
      <c r="N185" s="17" t="s">
        <v>783</v>
      </c>
      <c r="O185" s="28" t="s">
        <v>765</v>
      </c>
      <c r="P185" s="28" t="s">
        <v>7</v>
      </c>
      <c r="Q185" s="28" t="s">
        <v>7</v>
      </c>
      <c r="R185" s="17"/>
      <c r="S185" s="18" t="s">
        <v>389</v>
      </c>
    </row>
    <row r="186" spans="1:19" ht="30" x14ac:dyDescent="0.25">
      <c r="A186" s="25">
        <v>179</v>
      </c>
      <c r="B186" s="26">
        <v>35</v>
      </c>
      <c r="C186" s="27">
        <v>46230</v>
      </c>
      <c r="D186" s="28" t="s">
        <v>763</v>
      </c>
      <c r="E186" s="26">
        <v>28</v>
      </c>
      <c r="F186" s="26">
        <v>139</v>
      </c>
      <c r="G186" s="17" t="s">
        <v>395</v>
      </c>
      <c r="H186" s="28" t="s">
        <v>76</v>
      </c>
      <c r="I186" s="17" t="s">
        <v>374</v>
      </c>
      <c r="J186" s="17" t="s">
        <v>396</v>
      </c>
      <c r="K186" s="17" t="s">
        <v>79</v>
      </c>
      <c r="L186" s="28" t="s">
        <v>759</v>
      </c>
      <c r="M186" s="17" t="s">
        <v>768</v>
      </c>
      <c r="N186" s="17" t="s">
        <v>783</v>
      </c>
      <c r="O186" s="28" t="s">
        <v>769</v>
      </c>
      <c r="P186" s="28" t="s">
        <v>7</v>
      </c>
      <c r="Q186" s="28" t="s">
        <v>7</v>
      </c>
      <c r="R186" s="17"/>
      <c r="S186" s="18" t="s">
        <v>398</v>
      </c>
    </row>
    <row r="187" spans="1:19" ht="30" x14ac:dyDescent="0.25">
      <c r="A187" s="25">
        <v>180</v>
      </c>
      <c r="B187" s="26">
        <v>36</v>
      </c>
      <c r="C187" s="27">
        <v>46231</v>
      </c>
      <c r="D187" s="28" t="s">
        <v>763</v>
      </c>
      <c r="E187" s="26">
        <v>29</v>
      </c>
      <c r="F187" s="26">
        <v>121</v>
      </c>
      <c r="G187" s="17" t="s">
        <v>399</v>
      </c>
      <c r="H187" s="28" t="s">
        <v>49</v>
      </c>
      <c r="I187" s="17" t="s">
        <v>400</v>
      </c>
      <c r="J187" s="17" t="s">
        <v>401</v>
      </c>
      <c r="K187" s="17" t="s">
        <v>52</v>
      </c>
      <c r="L187" s="28" t="s">
        <v>749</v>
      </c>
      <c r="M187" s="17" t="s">
        <v>764</v>
      </c>
      <c r="N187" s="17" t="s">
        <v>784</v>
      </c>
      <c r="O187" s="28" t="s">
        <v>765</v>
      </c>
      <c r="P187" s="28" t="s">
        <v>7</v>
      </c>
      <c r="Q187" s="28" t="s">
        <v>7</v>
      </c>
      <c r="R187" s="17"/>
      <c r="S187" s="18" t="s">
        <v>403</v>
      </c>
    </row>
    <row r="188" spans="1:19" ht="30" x14ac:dyDescent="0.25">
      <c r="A188" s="25">
        <v>181</v>
      </c>
      <c r="B188" s="26">
        <v>36</v>
      </c>
      <c r="C188" s="27">
        <v>46231</v>
      </c>
      <c r="D188" s="28" t="s">
        <v>763</v>
      </c>
      <c r="E188" s="26">
        <v>29</v>
      </c>
      <c r="F188" s="26">
        <v>55</v>
      </c>
      <c r="G188" s="17" t="s">
        <v>404</v>
      </c>
      <c r="H188" s="28" t="s">
        <v>76</v>
      </c>
      <c r="I188" s="17" t="s">
        <v>405</v>
      </c>
      <c r="J188" s="17" t="s">
        <v>406</v>
      </c>
      <c r="K188" s="17" t="s">
        <v>79</v>
      </c>
      <c r="L188" s="28" t="s">
        <v>759</v>
      </c>
      <c r="M188" s="17" t="s">
        <v>768</v>
      </c>
      <c r="N188" s="17" t="s">
        <v>784</v>
      </c>
      <c r="O188" s="28" t="s">
        <v>769</v>
      </c>
      <c r="P188" s="28" t="s">
        <v>7</v>
      </c>
      <c r="Q188" s="28" t="s">
        <v>7</v>
      </c>
      <c r="R188" s="17"/>
      <c r="S188" s="18" t="s">
        <v>408</v>
      </c>
    </row>
    <row r="189" spans="1:19" ht="30" x14ac:dyDescent="0.25">
      <c r="A189" s="25">
        <v>182</v>
      </c>
      <c r="B189" s="26">
        <v>37</v>
      </c>
      <c r="C189" s="27">
        <v>46232</v>
      </c>
      <c r="D189" s="28" t="s">
        <v>763</v>
      </c>
      <c r="E189" s="26">
        <v>30</v>
      </c>
      <c r="F189" s="26">
        <v>3</v>
      </c>
      <c r="G189" s="17" t="s">
        <v>413</v>
      </c>
      <c r="H189" s="28" t="s">
        <v>76</v>
      </c>
      <c r="I189" s="17" t="s">
        <v>414</v>
      </c>
      <c r="J189" s="17" t="s">
        <v>415</v>
      </c>
      <c r="K189" s="17" t="s">
        <v>416</v>
      </c>
      <c r="L189" s="28" t="s">
        <v>749</v>
      </c>
      <c r="M189" s="17" t="s">
        <v>785</v>
      </c>
      <c r="N189" s="17" t="s">
        <v>786</v>
      </c>
      <c r="O189" s="28" t="s">
        <v>777</v>
      </c>
      <c r="P189" s="28" t="s">
        <v>7</v>
      </c>
      <c r="Q189" s="28" t="s">
        <v>7</v>
      </c>
      <c r="R189" s="17"/>
      <c r="S189" s="18" t="s">
        <v>418</v>
      </c>
    </row>
    <row r="190" spans="1:19" ht="30" x14ac:dyDescent="0.25">
      <c r="A190" s="25">
        <v>183</v>
      </c>
      <c r="B190" s="26">
        <v>38</v>
      </c>
      <c r="C190" s="27">
        <v>46233</v>
      </c>
      <c r="D190" s="28" t="s">
        <v>775</v>
      </c>
      <c r="E190" s="26">
        <v>28</v>
      </c>
      <c r="F190" s="26">
        <v>300</v>
      </c>
      <c r="G190" s="17" t="s">
        <v>390</v>
      </c>
      <c r="H190" s="28" t="s">
        <v>76</v>
      </c>
      <c r="I190" s="17" t="s">
        <v>391</v>
      </c>
      <c r="J190" s="17" t="s">
        <v>392</v>
      </c>
      <c r="K190" s="17" t="s">
        <v>119</v>
      </c>
      <c r="L190" s="28" t="s">
        <v>759</v>
      </c>
      <c r="M190" s="17" t="s">
        <v>776</v>
      </c>
      <c r="N190" s="17" t="s">
        <v>770</v>
      </c>
      <c r="O190" s="28" t="s">
        <v>777</v>
      </c>
      <c r="P190" s="28" t="s">
        <v>7</v>
      </c>
      <c r="Q190" s="28" t="s">
        <v>7</v>
      </c>
      <c r="R190" s="17"/>
      <c r="S190" s="18" t="s">
        <v>394</v>
      </c>
    </row>
    <row r="191" spans="1:19" ht="30" x14ac:dyDescent="0.25">
      <c r="A191" s="29">
        <v>184</v>
      </c>
      <c r="B191" s="30">
        <v>39</v>
      </c>
      <c r="C191" s="31">
        <v>46234</v>
      </c>
      <c r="D191" s="32" t="s">
        <v>775</v>
      </c>
      <c r="E191" s="30">
        <v>29</v>
      </c>
      <c r="F191" s="30">
        <v>45</v>
      </c>
      <c r="G191" s="19" t="s">
        <v>409</v>
      </c>
      <c r="H191" s="32" t="s">
        <v>76</v>
      </c>
      <c r="I191" s="19" t="s">
        <v>405</v>
      </c>
      <c r="J191" s="19" t="s">
        <v>410</v>
      </c>
      <c r="K191" s="19" t="s">
        <v>119</v>
      </c>
      <c r="L191" s="32" t="s">
        <v>759</v>
      </c>
      <c r="M191" s="19" t="s">
        <v>776</v>
      </c>
      <c r="N191" s="19" t="s">
        <v>784</v>
      </c>
      <c r="O191" s="32" t="s">
        <v>777</v>
      </c>
      <c r="P191" s="32" t="s">
        <v>7</v>
      </c>
      <c r="Q191" s="32" t="s">
        <v>7</v>
      </c>
      <c r="R191" s="19"/>
      <c r="S191" s="20" t="s">
        <v>412</v>
      </c>
    </row>
    <row r="193" spans="1:19" ht="30" customHeight="1" x14ac:dyDescent="0.25">
      <c r="A193" s="38" t="s">
        <v>787</v>
      </c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</row>
  </sheetData>
  <mergeCells count="3">
    <mergeCell ref="A1:S1"/>
    <mergeCell ref="A2:S2"/>
    <mergeCell ref="A193:S193"/>
  </mergeCells>
  <conditionalFormatting sqref="L8:L191">
    <cfRule type="expression" dxfId="5" priority="1">
      <formula>L8="Высокий"</formula>
    </cfRule>
    <cfRule type="expression" dxfId="4" priority="2">
      <formula>L8="Средний"</formula>
    </cfRule>
    <cfRule type="expression" dxfId="3" priority="3">
      <formula>L8="Низкий"</formula>
    </cfRule>
  </conditionalFormatting>
  <conditionalFormatting sqref="Q8:Q191">
    <cfRule type="expression" dxfId="2" priority="4">
      <formula>Q8="Повторено сам"</formula>
    </cfRule>
    <cfRule type="expression" dxfId="1" priority="5">
      <formula>Q8="Повторено с подсказкой"</formula>
    </cfRule>
    <cfRule type="expression" dxfId="0" priority="6">
      <formula>Q8="Не вспомнил"</formula>
    </cfRule>
  </conditionalFormatting>
  <dataValidations count="1">
    <dataValidation type="list" sqref="Q8:Q191" xr:uid="{00000000-0002-0000-0600-000000000000}">
      <formula1>"Не начато,Повторено сам,Повторено с подсказкой,Не вспомнил,Пропустить"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Дашборд</vt:lpstr>
      <vt:lpstr>Месячный план</vt:lpstr>
      <vt:lpstr>Карта тем</vt:lpstr>
      <vt:lpstr>Банк задач</vt:lpstr>
      <vt:lpstr>Списки</vt:lpstr>
      <vt:lpstr>Источники</vt:lpstr>
      <vt:lpstr>Повторение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Irbis</cp:lastModifiedBy>
  <dcterms:modified xsi:type="dcterms:W3CDTF">2026-06-27T19:22:01Z</dcterms:modified>
</cp:coreProperties>
</file>